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8_{469AF280-1DE8-4CD4-BE40-B45412F710A6}" xr6:coauthVersionLast="47" xr6:coauthVersionMax="47" xr10:uidLastSave="{00000000-0000-0000-0000-000000000000}"/>
  <bookViews>
    <workbookView xWindow="-98" yWindow="-98" windowWidth="21795" windowHeight="12975" activeTab="1" xr2:uid="{00000000-000D-0000-FFFF-FFFF00000000}"/>
  </bookViews>
  <sheets>
    <sheet name="合并" sheetId="11" r:id="rId1"/>
    <sheet name="Sheet1" sheetId="13" r:id="rId2"/>
    <sheet name="细则" sheetId="1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1" l="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alcChain>
</file>

<file path=xl/sharedStrings.xml><?xml version="1.0" encoding="utf-8"?>
<sst xmlns="http://schemas.openxmlformats.org/spreadsheetml/2006/main" count="804" uniqueCount="134">
  <si>
    <t>高等数学B(I)</t>
    <phoneticPr fontId="1" type="noConversion"/>
  </si>
  <si>
    <t>高等数学B(II)</t>
    <phoneticPr fontId="1" type="noConversion"/>
  </si>
  <si>
    <t>线性代数</t>
    <phoneticPr fontId="1" type="noConversion"/>
  </si>
  <si>
    <t>大学物理导论</t>
    <phoneticPr fontId="1" type="noConversion"/>
  </si>
  <si>
    <t>微观经济学</t>
    <phoneticPr fontId="1" type="noConversion"/>
  </si>
  <si>
    <t>会计学</t>
    <phoneticPr fontId="1" type="noConversion"/>
  </si>
  <si>
    <t>计算机网络基础</t>
    <phoneticPr fontId="1" type="noConversion"/>
  </si>
  <si>
    <t>宏观经济学</t>
    <phoneticPr fontId="1" type="noConversion"/>
  </si>
  <si>
    <t>经济法概论</t>
    <phoneticPr fontId="1" type="noConversion"/>
  </si>
  <si>
    <t>数据库原理与应用</t>
    <phoneticPr fontId="1" type="noConversion"/>
  </si>
  <si>
    <t>运筹学</t>
    <phoneticPr fontId="1" type="noConversion"/>
  </si>
  <si>
    <t>信息管理与信息系统</t>
    <phoneticPr fontId="1" type="noConversion"/>
  </si>
  <si>
    <t>应用统计学</t>
    <phoneticPr fontId="1" type="noConversion"/>
  </si>
  <si>
    <t>组织行为学</t>
    <phoneticPr fontId="1" type="noConversion"/>
  </si>
  <si>
    <t>数据结构</t>
    <phoneticPr fontId="1" type="noConversion"/>
  </si>
  <si>
    <t>预测与决策</t>
    <phoneticPr fontId="1" type="noConversion"/>
  </si>
  <si>
    <t>信息计量学</t>
    <phoneticPr fontId="1" type="noConversion"/>
  </si>
  <si>
    <t>信息计量学试验</t>
    <phoneticPr fontId="1" type="noConversion"/>
  </si>
  <si>
    <t>信息分析与预测</t>
    <phoneticPr fontId="1" type="noConversion"/>
  </si>
  <si>
    <t>信息分析与预测实验</t>
    <phoneticPr fontId="1" type="noConversion"/>
  </si>
  <si>
    <t>JAVA程序设计</t>
    <phoneticPr fontId="1" type="noConversion"/>
  </si>
  <si>
    <t>信息系统分析与设计</t>
    <phoneticPr fontId="1" type="noConversion"/>
  </si>
  <si>
    <t>系统设计与开发实验</t>
    <phoneticPr fontId="1" type="noConversion"/>
  </si>
  <si>
    <t>信息组织</t>
    <phoneticPr fontId="1" type="noConversion"/>
  </si>
  <si>
    <t>信息组织实验</t>
    <phoneticPr fontId="1" type="noConversion"/>
  </si>
  <si>
    <t>信息存储与检索</t>
    <phoneticPr fontId="1" type="noConversion"/>
  </si>
  <si>
    <t>信息存储与检索实验</t>
    <phoneticPr fontId="1" type="noConversion"/>
  </si>
  <si>
    <t>思想道德与法治</t>
    <phoneticPr fontId="1" type="noConversion"/>
  </si>
  <si>
    <t>中国近现代史纲要</t>
    <phoneticPr fontId="1" type="noConversion"/>
  </si>
  <si>
    <t>马克思主义基本原理</t>
    <phoneticPr fontId="1" type="noConversion"/>
  </si>
  <si>
    <t>大学英语(I)</t>
    <phoneticPr fontId="1" type="noConversion"/>
  </si>
  <si>
    <t>大学英语(II)</t>
    <phoneticPr fontId="1" type="noConversion"/>
  </si>
  <si>
    <t>大学英语中级(I)</t>
    <phoneticPr fontId="1" type="noConversion"/>
  </si>
  <si>
    <t>大学英语中级(II)</t>
    <phoneticPr fontId="1" type="noConversion"/>
  </si>
  <si>
    <t>高级英语</t>
    <phoneticPr fontId="1" type="noConversion"/>
  </si>
  <si>
    <t>创业基础</t>
  </si>
  <si>
    <t>运营管理</t>
    <phoneticPr fontId="1" type="noConversion"/>
  </si>
  <si>
    <t>财务管理</t>
    <phoneticPr fontId="1" type="noConversion"/>
  </si>
  <si>
    <t>市场营销学</t>
    <phoneticPr fontId="1" type="noConversion"/>
  </si>
  <si>
    <t>管理沟通</t>
    <phoneticPr fontId="1" type="noConversion"/>
  </si>
  <si>
    <t>人力资源管理</t>
    <phoneticPr fontId="1" type="noConversion"/>
  </si>
  <si>
    <t>管理会计</t>
    <phoneticPr fontId="1" type="noConversion"/>
  </si>
  <si>
    <t>企业战略管理</t>
    <phoneticPr fontId="1" type="noConversion"/>
  </si>
  <si>
    <t>物流与供应链管理</t>
    <phoneticPr fontId="1" type="noConversion"/>
  </si>
  <si>
    <t>企业经营实战演练</t>
    <phoneticPr fontId="1" type="noConversion"/>
  </si>
  <si>
    <t>工程经济学</t>
    <phoneticPr fontId="1" type="noConversion"/>
  </si>
  <si>
    <t>工业工程导论</t>
    <phoneticPr fontId="1" type="noConversion"/>
  </si>
  <si>
    <t>生产计划与控制</t>
    <phoneticPr fontId="1" type="noConversion"/>
  </si>
  <si>
    <t>服务运作管理</t>
    <phoneticPr fontId="1" type="noConversion"/>
  </si>
  <si>
    <t>ERP实验</t>
    <phoneticPr fontId="1" type="noConversion"/>
  </si>
  <si>
    <t>人因工程学</t>
    <phoneticPr fontId="1" type="noConversion"/>
  </si>
  <si>
    <t>设施规划</t>
    <phoneticPr fontId="1" type="noConversion"/>
  </si>
  <si>
    <t>质量管理与可靠性工程</t>
    <phoneticPr fontId="1" type="noConversion"/>
  </si>
  <si>
    <t>生产系统建模与仿真</t>
    <phoneticPr fontId="1" type="noConversion"/>
  </si>
  <si>
    <t>物流管理</t>
    <phoneticPr fontId="1" type="noConversion"/>
  </si>
  <si>
    <t>商业银行经营与管理</t>
    <phoneticPr fontId="1" type="noConversion"/>
  </si>
  <si>
    <t>公司理财</t>
    <phoneticPr fontId="1" type="noConversion"/>
  </si>
  <si>
    <t>保险学</t>
    <phoneticPr fontId="1" type="noConversion"/>
  </si>
  <si>
    <t>证券投资学</t>
    <phoneticPr fontId="1" type="noConversion"/>
  </si>
  <si>
    <t>国际金融</t>
    <phoneticPr fontId="1" type="noConversion"/>
  </si>
  <si>
    <t>计量经济学</t>
    <phoneticPr fontId="1" type="noConversion"/>
  </si>
  <si>
    <t>财政与税收</t>
    <phoneticPr fontId="1" type="noConversion"/>
  </si>
  <si>
    <t>电子商务导论</t>
    <phoneticPr fontId="1" type="noConversion"/>
  </si>
  <si>
    <t>电子商务安全基础</t>
    <phoneticPr fontId="1" type="noConversion"/>
  </si>
  <si>
    <t>电子商务模拟实验</t>
    <phoneticPr fontId="1" type="noConversion"/>
  </si>
  <si>
    <t>网络金融与电子支付</t>
    <phoneticPr fontId="1" type="noConversion"/>
  </si>
  <si>
    <t>网络经济学</t>
    <phoneticPr fontId="1" type="noConversion"/>
  </si>
  <si>
    <t>商务网站的设计与开发</t>
    <phoneticPr fontId="1" type="noConversion"/>
  </si>
  <si>
    <t>网络营销</t>
    <phoneticPr fontId="1" type="noConversion"/>
  </si>
  <si>
    <t>网络营销实验</t>
    <phoneticPr fontId="1" type="noConversion"/>
  </si>
  <si>
    <t>商务数据分析</t>
    <phoneticPr fontId="1" type="noConversion"/>
  </si>
  <si>
    <t>市场营销综合实验</t>
    <phoneticPr fontId="1" type="noConversion"/>
  </si>
  <si>
    <t>营销渠道管理</t>
    <phoneticPr fontId="1" type="noConversion"/>
  </si>
  <si>
    <t>消费者行为学</t>
    <phoneticPr fontId="1" type="noConversion"/>
  </si>
  <si>
    <t>商务谈判理论与实务</t>
    <phoneticPr fontId="1" type="noConversion"/>
  </si>
  <si>
    <t>广告策划</t>
    <phoneticPr fontId="1" type="noConversion"/>
  </si>
  <si>
    <t>推销学</t>
    <phoneticPr fontId="1" type="noConversion"/>
  </si>
  <si>
    <t>工作分析与职位评价</t>
    <phoneticPr fontId="1" type="noConversion"/>
  </si>
  <si>
    <t>招聘与人员选拔</t>
    <phoneticPr fontId="1" type="noConversion"/>
  </si>
  <si>
    <t>培训开发与管理</t>
    <phoneticPr fontId="1" type="noConversion"/>
  </si>
  <si>
    <t>绩效考核与薪酬管理</t>
    <phoneticPr fontId="1" type="noConversion"/>
  </si>
  <si>
    <t>国际企业人力资源管理</t>
    <phoneticPr fontId="1" type="noConversion"/>
  </si>
  <si>
    <t>人力资源会计</t>
    <phoneticPr fontId="1" type="noConversion"/>
  </si>
  <si>
    <t>人力资源管理综合实验</t>
    <phoneticPr fontId="1" type="noConversion"/>
  </si>
  <si>
    <t>工程造价管理</t>
    <phoneticPr fontId="1" type="noConversion"/>
  </si>
  <si>
    <t>工程项目管理</t>
    <phoneticPr fontId="1" type="noConversion"/>
  </si>
  <si>
    <t>工程招投标与合同管理</t>
    <phoneticPr fontId="1" type="noConversion"/>
  </si>
  <si>
    <t>工程估价</t>
    <phoneticPr fontId="1" type="noConversion"/>
  </si>
  <si>
    <t>产业组织理论（双语）</t>
    <phoneticPr fontId="1" type="noConversion"/>
  </si>
  <si>
    <t>工商管理</t>
    <phoneticPr fontId="1" type="noConversion"/>
  </si>
  <si>
    <t>工业工程</t>
    <phoneticPr fontId="1" type="noConversion"/>
  </si>
  <si>
    <t>金融学</t>
    <phoneticPr fontId="1" type="noConversion"/>
  </si>
  <si>
    <t>电子商务</t>
    <phoneticPr fontId="1" type="noConversion"/>
  </si>
  <si>
    <t>市场营销</t>
    <phoneticPr fontId="1" type="noConversion"/>
  </si>
  <si>
    <t>工程管理</t>
    <phoneticPr fontId="1" type="noConversion"/>
  </si>
  <si>
    <t>公共政策学</t>
  </si>
  <si>
    <t>金融学</t>
  </si>
  <si>
    <t>项目管理</t>
  </si>
  <si>
    <t>系统工程</t>
    <phoneticPr fontId="1" type="noConversion"/>
  </si>
  <si>
    <t>大数据管理与应用</t>
    <phoneticPr fontId="1" type="noConversion"/>
  </si>
  <si>
    <t>数据科学导论</t>
    <phoneticPr fontId="1" type="noConversion"/>
  </si>
  <si>
    <t>离散数学基础</t>
    <phoneticPr fontId="1" type="noConversion"/>
  </si>
  <si>
    <t>预测与决策</t>
    <phoneticPr fontId="1" type="noConversion"/>
  </si>
  <si>
    <t>商务智能分析</t>
    <phoneticPr fontId="1" type="noConversion"/>
  </si>
  <si>
    <t>商务智能分析实验</t>
    <phoneticPr fontId="1" type="noConversion"/>
  </si>
  <si>
    <t>Python程序设计</t>
    <phoneticPr fontId="1" type="noConversion"/>
  </si>
  <si>
    <t>大数据管理技术</t>
    <phoneticPr fontId="1" type="noConversion"/>
  </si>
  <si>
    <t>大数据管理技术实验</t>
    <phoneticPr fontId="1" type="noConversion"/>
  </si>
  <si>
    <t>商业人工智能</t>
    <phoneticPr fontId="1" type="noConversion"/>
  </si>
  <si>
    <t>商业人工智能实验</t>
    <phoneticPr fontId="1" type="noConversion"/>
  </si>
  <si>
    <t>大数据治理</t>
    <phoneticPr fontId="1" type="noConversion"/>
  </si>
  <si>
    <t>商务数据可视化分析</t>
    <phoneticPr fontId="1" type="noConversion"/>
  </si>
  <si>
    <t>文本分析与文本挖掘</t>
    <phoneticPr fontId="1" type="noConversion"/>
  </si>
  <si>
    <t>序号</t>
    <phoneticPr fontId="1" type="noConversion"/>
  </si>
  <si>
    <t>管理学</t>
    <phoneticPr fontId="1" type="noConversion"/>
  </si>
  <si>
    <t>管理信息系统</t>
    <phoneticPr fontId="1" type="noConversion"/>
  </si>
  <si>
    <t>信息资源管理</t>
    <phoneticPr fontId="1" type="noConversion"/>
  </si>
  <si>
    <t>经管院2020级推免各专业计算课程列表</t>
    <phoneticPr fontId="1" type="noConversion"/>
  </si>
  <si>
    <t>计导</t>
  </si>
  <si>
    <t>概统</t>
  </si>
  <si>
    <t>毛概</t>
    <phoneticPr fontId="1" type="noConversion"/>
  </si>
  <si>
    <t>习概</t>
    <phoneticPr fontId="1" type="noConversion"/>
  </si>
  <si>
    <t>权值</t>
    <phoneticPr fontId="1" type="noConversion"/>
  </si>
  <si>
    <r>
      <t>管理学</t>
    </r>
    <r>
      <rPr>
        <sz val="12"/>
        <color theme="1"/>
        <rFont val="宋体"/>
        <family val="3"/>
        <charset val="134"/>
      </rPr>
      <t>原理</t>
    </r>
    <phoneticPr fontId="1" type="noConversion"/>
  </si>
  <si>
    <t>推免条件</t>
    <phoneticPr fontId="1" type="noConversion"/>
  </si>
  <si>
    <t>学院从具备下列条件的学生中择优遴选推免生：
1.推荐对象仅限纳入我校本科招生计划录取的应届毕业生（留学生、第二学士学位学生、降级及延长学习时间学生除外）；
2.推荐的学生应具备良好的思想政治素质，热爱祖国，拥护党的路线方针政策，具有社会责任感和历史使命感，品行端正，身心健康，诚实守信，且不在处分期内；
3.推荐的学生应具备健康的体魄，能够胜任学业，因病休学的学生康复复学之前不能申请推免；
4.具有较强的创新意识和专业研究能力，学习刻苦、勤奋，成绩优良，本科毕业后无出国留学或参加就业的计划；
5.“一般类别”学生本科前三年必修课程平均学分绩的成绩应达到80分及以上或专业排名前20%，且课程合格；“突出特长”学生平均学分绩成绩在70分及以上，且课程合格；
6.在涉及成绩排名计算时，各科目成绩按照学籍管理文件执行。重修或补考通过的课程成绩按60分（百分制）计算；缓考应在课程修读学期的下一学期在学校统一安排的补考时间内参加考试，缓考成绩按该课程原成绩评定办法评定，视作该课程的首次考试成绩；
7.学业成绩认定截止时间为获得推免当年的7月31日；
8.“一般类别”学生，全国大学英语四级在550分及以上或全国大学英语六级在425分及以上，或全国大学英语四级达到学校授位标准并且TOEFL成绩在90分及以上（两年有效），或全国大学英语四级达到学校授位标准并且雅思（学术类）在6.0分及以上（两年有效）；“突出特长”学生，全国大学英语四级应达到学校统一规定的授学位标准。外语成绩认定截止时间为获得推免当年的8月31日。</t>
    <phoneticPr fontId="1" type="noConversion"/>
  </si>
  <si>
    <t>综合测评</t>
    <phoneticPr fontId="1" type="noConversion"/>
  </si>
  <si>
    <t>在综合考核过程中，根据学业成绩和综合素质能力成绩，确定推免生的综合测评成绩。符合推免条件的学生学院将以综合测评成绩排名并公示，综合测评成绩为130分，其中学业成绩满分为100分，综合素质能力考核面试成绩为15分，“突出特长”模块成绩为15分。
1.学业成绩课程列表详见附件4，成绩以教务系统核算为准。计算方法为：
学业成绩=∑（课程成绩×该课程学分）／∑课程学分
2.综合素质能力考核面试成绩由面试小组专家根据学生综合表现进行测评打分，由简单算术平均成绩形成综合素质能力考核面试成绩。
3.综合素质能力考核面试成绩主要参考科研成果（发表学术论文和参加科研项目等）、增强型课程、学科竞赛、发明创造、社会服务与社团活动、在校期间参军入伍服兵役、到国际组织实习情况以及充分体现学生德智体美劳等确定。（具体参考标准见附件1）
4.学生与直系亲属或学历、职称、职务明显高于本人者合作的科研成果、竞赛奖项等仅作为参考，不纳入学生本人推免综合素质能力评定的指标体系，同等条件下可优先考虑。
5.“突出特长”加分由学校根据《西安电子科技大学大学生竞赛成绩优胜者表彰奖励条例》（西电教〔2021〕88号）认定。已纳入“突出特长”的奖项不再参与其他模块计算。
6.参加过国（境）内、外校际交流项目的学生在交流期间的成绩如在推免生工作开始前完成学分转换的，统一纳入专业排名范畴，未在推免生工作开始前完成学分转换的，不纳入专业排名范畴。</t>
    <phoneticPr fontId="1" type="noConversion"/>
  </si>
  <si>
    <t>成绩排序与指标分配</t>
    <phoneticPr fontId="1" type="noConversion"/>
  </si>
  <si>
    <t>1.成绩排序以综合测评成绩按专业排序由高分到低分择优确认推免资格。
2.推免名额指标由专业人数以及专业具有保研资格人数共同确定。计算方法为：
专业推免名额=[（专业人数/总人数+专业具有保研资格人数/具有保研资格总人数）/2]*（总推免名额-学校认定的突出特长人数）+专业突出特长人数
每个专业原则上至少有一名最终推免名额，但是，如果其本科前三年课程列表必修课程平均学分绩的成绩低于75分，则该专业不享受“每个专业原则上至少有一名最终推免名额”的政策，该名额按照专业保研人数比例递补至其他专业。
专业推免名额计算优先使用四舍五入的方式进行取整，如与推免当年指标有上下波动，由学院推免工作小组根据学校文件指导精神讨论决定。</t>
    <phoneticPr fontId="1" type="noConversion"/>
  </si>
  <si>
    <t>学业成绩=∑（课程成绩×该课程学分）／∑课程学分</t>
    <phoneticPr fontId="1" type="noConversion"/>
  </si>
  <si>
    <t>学业成绩</t>
    <phoneticPr fontId="1" type="noConversion"/>
  </si>
  <si>
    <t>综合素质能力</t>
    <phoneticPr fontId="1" type="noConversion"/>
  </si>
  <si>
    <t>科研成果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</si>
</sst>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
      <name val="等线"/>
      <family val="3"/>
      <charset val="134"/>
      <scheme val="minor"/>
    </font>
    <font>
      <sz val="14"/>
      <color theme="1"/>
      <name val="仿宋_GB2312"/>
      <family val="3"/>
      <charset val="134"/>
    </font>
    <font>
      <sz val="11"/>
      <name val="等线"/>
      <family val="2"/>
      <scheme val="minor"/>
    </font>
    <font>
      <b/>
      <sz val="22"/>
      <color theme="1"/>
      <name val="宋体"/>
      <family val="3"/>
      <charset val="134"/>
    </font>
    <font>
      <sz val="11"/>
      <color theme="1"/>
      <name val="宋体"/>
      <family val="3"/>
      <charset val="134"/>
    </font>
    <font>
      <b/>
      <sz val="12"/>
      <color theme="1"/>
      <name val="宋体"/>
      <family val="3"/>
      <charset val="134"/>
    </font>
    <font>
      <sz val="12"/>
      <color theme="1"/>
      <name val="宋体"/>
      <family val="3"/>
      <charset val="134"/>
    </font>
    <font>
      <sz val="12"/>
      <name val="宋体"/>
      <family val="3"/>
      <charset val="134"/>
    </font>
    <font>
      <sz val="11"/>
      <name val="宋体"/>
      <family val="3"/>
      <charset val="134"/>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s>
  <cellStyleXfs count="1">
    <xf numFmtId="0" fontId="0" fillId="0" borderId="0"/>
  </cellStyleXfs>
  <cellXfs count="27">
    <xf numFmtId="0" fontId="0" fillId="0" borderId="0" xfId="0"/>
    <xf numFmtId="0" fontId="2" fillId="0" borderId="0" xfId="0" applyFont="1" applyAlignment="1">
      <alignment horizontal="center" vertical="center" wrapText="1"/>
    </xf>
    <xf numFmtId="0" fontId="3" fillId="0" borderId="0" xfId="0" applyFont="1"/>
    <xf numFmtId="0" fontId="5" fillId="0" borderId="0" xfId="0" applyFont="1"/>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9" fillId="0" borderId="0" xfId="0" applyFont="1"/>
    <xf numFmtId="0" fontId="7" fillId="0" borderId="0" xfId="0" applyFont="1" applyAlignment="1">
      <alignment horizontal="center" vertical="center" wrapText="1"/>
    </xf>
    <xf numFmtId="0" fontId="5" fillId="0" borderId="0" xfId="0" applyFont="1" applyAlignment="1">
      <alignment horizontal="center" vertical="center"/>
    </xf>
    <xf numFmtId="0" fontId="5" fillId="0" borderId="5" xfId="0" applyFont="1" applyBorder="1" applyAlignment="1">
      <alignment horizontal="center" vertical="center"/>
    </xf>
    <xf numFmtId="0" fontId="9" fillId="0" borderId="5" xfId="0" applyFont="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left"/>
    </xf>
    <xf numFmtId="0" fontId="0" fillId="0" borderId="0" xfId="0" applyAlignment="1">
      <alignment horizontal="left" wrapText="1"/>
    </xf>
    <xf numFmtId="0" fontId="0" fillId="0" borderId="0" xfId="0" quotePrefix="1"/>
    <xf numFmtId="0" fontId="4" fillId="0" borderId="2" xfId="0" applyFont="1" applyBorder="1" applyAlignment="1">
      <alignment horizontal="center" vertical="center" wrapText="1"/>
    </xf>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7"/>
  <sheetViews>
    <sheetView zoomScale="85" zoomScaleNormal="85" workbookViewId="0">
      <selection activeCell="J2" sqref="A2:J47"/>
    </sheetView>
  </sheetViews>
  <sheetFormatPr defaultRowHeight="17.649999999999999" x14ac:dyDescent="0.4"/>
  <cols>
    <col min="1" max="1" width="5.86328125" style="1" customWidth="1"/>
    <col min="2" max="9" width="21.1328125" style="1" customWidth="1"/>
    <col min="10" max="10" width="21.1328125" customWidth="1"/>
    <col min="11" max="11" width="17.46484375" style="19" customWidth="1"/>
    <col min="17" max="17" width="13.86328125" customWidth="1"/>
  </cols>
  <sheetData>
    <row r="1" spans="1:18" ht="50.25" customHeight="1" x14ac:dyDescent="0.4">
      <c r="A1" s="25" t="s">
        <v>117</v>
      </c>
      <c r="B1" s="25"/>
      <c r="C1" s="25"/>
      <c r="D1" s="25"/>
      <c r="E1" s="25"/>
      <c r="F1" s="25"/>
      <c r="G1" s="25"/>
      <c r="H1" s="25"/>
      <c r="I1" s="25"/>
      <c r="J1" s="25"/>
      <c r="K1" s="16"/>
      <c r="L1" s="3"/>
      <c r="M1" s="3"/>
      <c r="O1" s="21" t="s">
        <v>130</v>
      </c>
    </row>
    <row r="2" spans="1:18" ht="15.95" customHeight="1" x14ac:dyDescent="0.4">
      <c r="A2" s="4" t="s">
        <v>113</v>
      </c>
      <c r="B2" s="4" t="s">
        <v>11</v>
      </c>
      <c r="C2" s="4" t="s">
        <v>89</v>
      </c>
      <c r="D2" s="4" t="s">
        <v>90</v>
      </c>
      <c r="E2" s="4" t="s">
        <v>91</v>
      </c>
      <c r="F2" s="4" t="s">
        <v>92</v>
      </c>
      <c r="G2" s="4" t="s">
        <v>93</v>
      </c>
      <c r="H2" s="4" t="s">
        <v>40</v>
      </c>
      <c r="I2" s="4" t="s">
        <v>94</v>
      </c>
      <c r="J2" s="4" t="s">
        <v>99</v>
      </c>
      <c r="K2" s="16"/>
      <c r="L2" s="5" t="s">
        <v>122</v>
      </c>
      <c r="M2" s="3"/>
      <c r="O2" t="s">
        <v>131</v>
      </c>
      <c r="Q2" s="26" t="s">
        <v>132</v>
      </c>
      <c r="R2" s="26"/>
    </row>
    <row r="3" spans="1:18" ht="15.95" customHeight="1" x14ac:dyDescent="0.4">
      <c r="A3" s="6">
        <v>1</v>
      </c>
      <c r="B3" s="6" t="s">
        <v>0</v>
      </c>
      <c r="C3" s="6" t="s">
        <v>0</v>
      </c>
      <c r="D3" s="6" t="s">
        <v>0</v>
      </c>
      <c r="E3" s="6" t="s">
        <v>0</v>
      </c>
      <c r="F3" s="6" t="s">
        <v>0</v>
      </c>
      <c r="G3" s="6" t="s">
        <v>0</v>
      </c>
      <c r="H3" s="6" t="s">
        <v>0</v>
      </c>
      <c r="I3" s="6" t="s">
        <v>0</v>
      </c>
      <c r="J3" s="7" t="s">
        <v>0</v>
      </c>
      <c r="K3" s="8" t="s">
        <v>0</v>
      </c>
      <c r="L3" s="3">
        <v>4</v>
      </c>
      <c r="M3" s="3">
        <v>85</v>
      </c>
      <c r="N3">
        <f>M3*L3</f>
        <v>340</v>
      </c>
      <c r="O3" s="24">
        <f>SUM(N3:N47)/SUM(L3:L47)</f>
        <v>77.125</v>
      </c>
      <c r="Q3" t="s">
        <v>133</v>
      </c>
    </row>
    <row r="4" spans="1:18" ht="15.95" customHeight="1" x14ac:dyDescent="0.4">
      <c r="A4" s="6">
        <v>2</v>
      </c>
      <c r="B4" s="6" t="s">
        <v>1</v>
      </c>
      <c r="C4" s="6" t="s">
        <v>1</v>
      </c>
      <c r="D4" s="6" t="s">
        <v>1</v>
      </c>
      <c r="E4" s="6" t="s">
        <v>1</v>
      </c>
      <c r="F4" s="6" t="s">
        <v>1</v>
      </c>
      <c r="G4" s="6" t="s">
        <v>1</v>
      </c>
      <c r="H4" s="6" t="s">
        <v>1</v>
      </c>
      <c r="I4" s="6" t="s">
        <v>1</v>
      </c>
      <c r="J4" s="7" t="s">
        <v>1</v>
      </c>
      <c r="K4" s="8" t="s">
        <v>1</v>
      </c>
      <c r="L4" s="3">
        <v>3.5</v>
      </c>
      <c r="M4" s="3">
        <v>79</v>
      </c>
      <c r="N4">
        <f t="shared" ref="N4:N47" si="0">M4*L4</f>
        <v>276.5</v>
      </c>
    </row>
    <row r="5" spans="1:18" ht="15.95" customHeight="1" x14ac:dyDescent="0.4">
      <c r="A5" s="6">
        <v>3</v>
      </c>
      <c r="B5" s="6" t="s">
        <v>2</v>
      </c>
      <c r="C5" s="6" t="s">
        <v>2</v>
      </c>
      <c r="D5" s="6" t="s">
        <v>2</v>
      </c>
      <c r="E5" s="6" t="s">
        <v>2</v>
      </c>
      <c r="F5" s="6" t="s">
        <v>2</v>
      </c>
      <c r="G5" s="6" t="s">
        <v>2</v>
      </c>
      <c r="H5" s="6" t="s">
        <v>2</v>
      </c>
      <c r="I5" s="6" t="s">
        <v>2</v>
      </c>
      <c r="J5" s="7" t="s">
        <v>2</v>
      </c>
      <c r="K5" s="8" t="s">
        <v>2</v>
      </c>
      <c r="L5" s="3">
        <v>2.5</v>
      </c>
      <c r="M5" s="3">
        <v>66</v>
      </c>
      <c r="N5">
        <f t="shared" si="0"/>
        <v>165</v>
      </c>
    </row>
    <row r="6" spans="1:18" ht="15.95" customHeight="1" x14ac:dyDescent="0.4">
      <c r="A6" s="6">
        <v>4</v>
      </c>
      <c r="B6" s="6" t="s">
        <v>119</v>
      </c>
      <c r="C6" s="6" t="s">
        <v>119</v>
      </c>
      <c r="D6" s="6" t="s">
        <v>119</v>
      </c>
      <c r="E6" s="6" t="s">
        <v>119</v>
      </c>
      <c r="F6" s="6" t="s">
        <v>119</v>
      </c>
      <c r="G6" s="6" t="s">
        <v>119</v>
      </c>
      <c r="H6" s="6" t="s">
        <v>119</v>
      </c>
      <c r="I6" s="6" t="s">
        <v>119</v>
      </c>
      <c r="J6" s="7" t="s">
        <v>119</v>
      </c>
      <c r="K6" s="8" t="s">
        <v>119</v>
      </c>
      <c r="L6" s="3">
        <v>3</v>
      </c>
      <c r="M6" s="3">
        <v>74</v>
      </c>
      <c r="N6">
        <f t="shared" si="0"/>
        <v>222</v>
      </c>
    </row>
    <row r="7" spans="1:18" ht="15.95" customHeight="1" x14ac:dyDescent="0.4">
      <c r="A7" s="6">
        <v>5</v>
      </c>
      <c r="B7" s="6" t="s">
        <v>3</v>
      </c>
      <c r="C7" s="6" t="s">
        <v>3</v>
      </c>
      <c r="D7" s="6" t="s">
        <v>3</v>
      </c>
      <c r="E7" s="6" t="s">
        <v>3</v>
      </c>
      <c r="F7" s="6" t="s">
        <v>3</v>
      </c>
      <c r="G7" s="6" t="s">
        <v>3</v>
      </c>
      <c r="H7" s="6" t="s">
        <v>3</v>
      </c>
      <c r="I7" s="6" t="s">
        <v>3</v>
      </c>
      <c r="J7" s="7" t="s">
        <v>3</v>
      </c>
      <c r="K7" s="8" t="s">
        <v>3</v>
      </c>
      <c r="L7" s="3">
        <v>3.5</v>
      </c>
      <c r="M7" s="3">
        <v>68</v>
      </c>
      <c r="N7">
        <f t="shared" si="0"/>
        <v>238</v>
      </c>
    </row>
    <row r="8" spans="1:18" ht="15.95" customHeight="1" x14ac:dyDescent="0.4">
      <c r="A8" s="6">
        <v>6</v>
      </c>
      <c r="B8" s="9" t="s">
        <v>118</v>
      </c>
      <c r="C8" s="9" t="s">
        <v>118</v>
      </c>
      <c r="D8" s="9" t="s">
        <v>118</v>
      </c>
      <c r="E8" s="9" t="s">
        <v>118</v>
      </c>
      <c r="F8" s="9" t="s">
        <v>118</v>
      </c>
      <c r="G8" s="9" t="s">
        <v>118</v>
      </c>
      <c r="H8" s="9" t="s">
        <v>118</v>
      </c>
      <c r="I8" s="9" t="s">
        <v>118</v>
      </c>
      <c r="J8" s="10" t="s">
        <v>118</v>
      </c>
      <c r="K8" s="11" t="s">
        <v>118</v>
      </c>
      <c r="L8" s="3"/>
      <c r="M8" s="3"/>
      <c r="N8">
        <f t="shared" si="0"/>
        <v>0</v>
      </c>
    </row>
    <row r="9" spans="1:18" ht="15.95" customHeight="1" x14ac:dyDescent="0.4">
      <c r="A9" s="6">
        <v>7</v>
      </c>
      <c r="B9" s="6" t="s">
        <v>114</v>
      </c>
      <c r="C9" s="6" t="s">
        <v>114</v>
      </c>
      <c r="D9" s="6" t="s">
        <v>114</v>
      </c>
      <c r="E9" s="6" t="s">
        <v>114</v>
      </c>
      <c r="F9" s="6" t="s">
        <v>114</v>
      </c>
      <c r="G9" s="6" t="s">
        <v>114</v>
      </c>
      <c r="H9" s="6" t="s">
        <v>114</v>
      </c>
      <c r="I9" s="6" t="s">
        <v>114</v>
      </c>
      <c r="J9" s="7" t="s">
        <v>114</v>
      </c>
      <c r="K9" s="11" t="s">
        <v>123</v>
      </c>
      <c r="L9" s="3"/>
      <c r="M9" s="3"/>
      <c r="N9">
        <f t="shared" si="0"/>
        <v>0</v>
      </c>
    </row>
    <row r="10" spans="1:18" ht="15.95" customHeight="1" x14ac:dyDescent="0.4">
      <c r="A10" s="6">
        <v>8</v>
      </c>
      <c r="B10" s="6" t="s">
        <v>4</v>
      </c>
      <c r="C10" s="6" t="s">
        <v>4</v>
      </c>
      <c r="D10" s="6" t="s">
        <v>4</v>
      </c>
      <c r="E10" s="6" t="s">
        <v>4</v>
      </c>
      <c r="F10" s="6" t="s">
        <v>4</v>
      </c>
      <c r="G10" s="6" t="s">
        <v>4</v>
      </c>
      <c r="H10" s="6" t="s">
        <v>4</v>
      </c>
      <c r="I10" s="6" t="s">
        <v>4</v>
      </c>
      <c r="J10" s="7" t="s">
        <v>4</v>
      </c>
      <c r="K10" s="8" t="s">
        <v>4</v>
      </c>
      <c r="L10" s="3">
        <v>3</v>
      </c>
      <c r="M10" s="3">
        <v>79</v>
      </c>
      <c r="N10">
        <f t="shared" si="0"/>
        <v>237</v>
      </c>
    </row>
    <row r="11" spans="1:18" ht="15.95" customHeight="1" x14ac:dyDescent="0.4">
      <c r="A11" s="6">
        <v>9</v>
      </c>
      <c r="B11" s="6" t="s">
        <v>5</v>
      </c>
      <c r="C11" s="6" t="s">
        <v>5</v>
      </c>
      <c r="D11" s="6" t="s">
        <v>5</v>
      </c>
      <c r="E11" s="6" t="s">
        <v>5</v>
      </c>
      <c r="F11" s="6" t="s">
        <v>5</v>
      </c>
      <c r="G11" s="6" t="s">
        <v>5</v>
      </c>
      <c r="H11" s="6" t="s">
        <v>5</v>
      </c>
      <c r="I11" s="6" t="s">
        <v>5</v>
      </c>
      <c r="J11" s="7" t="s">
        <v>5</v>
      </c>
      <c r="K11" s="17" t="s">
        <v>5</v>
      </c>
      <c r="L11" s="3">
        <v>2.5</v>
      </c>
      <c r="M11" s="3">
        <v>81</v>
      </c>
      <c r="N11">
        <f t="shared" si="0"/>
        <v>202.5</v>
      </c>
    </row>
    <row r="12" spans="1:18" ht="15.95" customHeight="1" x14ac:dyDescent="0.4">
      <c r="A12" s="6">
        <v>10</v>
      </c>
      <c r="B12" s="6" t="s">
        <v>6</v>
      </c>
      <c r="C12" s="6" t="s">
        <v>6</v>
      </c>
      <c r="D12" s="6" t="s">
        <v>6</v>
      </c>
      <c r="E12" s="6" t="s">
        <v>6</v>
      </c>
      <c r="F12" s="6" t="s">
        <v>6</v>
      </c>
      <c r="G12" s="6" t="s">
        <v>6</v>
      </c>
      <c r="H12" s="6" t="s">
        <v>6</v>
      </c>
      <c r="I12" s="6" t="s">
        <v>6</v>
      </c>
      <c r="J12" s="7" t="s">
        <v>6</v>
      </c>
      <c r="K12" s="17"/>
      <c r="L12" s="3"/>
      <c r="M12" s="3"/>
      <c r="N12">
        <f t="shared" si="0"/>
        <v>0</v>
      </c>
    </row>
    <row r="13" spans="1:18" ht="15.95" customHeight="1" x14ac:dyDescent="0.4">
      <c r="A13" s="6">
        <v>11</v>
      </c>
      <c r="B13" s="6" t="s">
        <v>9</v>
      </c>
      <c r="C13" s="6" t="s">
        <v>9</v>
      </c>
      <c r="D13" s="6" t="s">
        <v>9</v>
      </c>
      <c r="E13" s="6" t="s">
        <v>9</v>
      </c>
      <c r="F13" s="6" t="s">
        <v>9</v>
      </c>
      <c r="G13" s="6" t="s">
        <v>9</v>
      </c>
      <c r="H13" s="6" t="s">
        <v>9</v>
      </c>
      <c r="I13" s="6" t="s">
        <v>9</v>
      </c>
      <c r="J13" s="7" t="s">
        <v>9</v>
      </c>
      <c r="K13" s="17" t="s">
        <v>9</v>
      </c>
      <c r="L13" s="3">
        <v>2</v>
      </c>
      <c r="M13" s="3">
        <v>85</v>
      </c>
      <c r="N13">
        <f t="shared" si="0"/>
        <v>170</v>
      </c>
    </row>
    <row r="14" spans="1:18" ht="15.95" customHeight="1" x14ac:dyDescent="0.4">
      <c r="A14" s="6">
        <v>12</v>
      </c>
      <c r="B14" s="6" t="s">
        <v>10</v>
      </c>
      <c r="C14" s="6" t="s">
        <v>10</v>
      </c>
      <c r="D14" s="6" t="s">
        <v>10</v>
      </c>
      <c r="E14" s="6" t="s">
        <v>10</v>
      </c>
      <c r="F14" s="6" t="s">
        <v>10</v>
      </c>
      <c r="G14" s="6" t="s">
        <v>10</v>
      </c>
      <c r="H14" s="6" t="s">
        <v>10</v>
      </c>
      <c r="I14" s="6" t="s">
        <v>10</v>
      </c>
      <c r="J14" s="7" t="s">
        <v>10</v>
      </c>
      <c r="K14" s="17"/>
      <c r="L14" s="3"/>
      <c r="M14" s="3"/>
      <c r="N14">
        <f t="shared" si="0"/>
        <v>0</v>
      </c>
    </row>
    <row r="15" spans="1:18" ht="15.95" customHeight="1" x14ac:dyDescent="0.4">
      <c r="A15" s="6">
        <v>13</v>
      </c>
      <c r="B15" s="6" t="s">
        <v>115</v>
      </c>
      <c r="C15" s="6" t="s">
        <v>115</v>
      </c>
      <c r="D15" s="6" t="s">
        <v>115</v>
      </c>
      <c r="E15" s="6" t="s">
        <v>115</v>
      </c>
      <c r="F15" s="6" t="s">
        <v>115</v>
      </c>
      <c r="G15" s="6" t="s">
        <v>115</v>
      </c>
      <c r="H15" s="6" t="s">
        <v>115</v>
      </c>
      <c r="I15" s="6" t="s">
        <v>115</v>
      </c>
      <c r="J15" s="7" t="s">
        <v>115</v>
      </c>
      <c r="K15" s="17"/>
      <c r="L15" s="3"/>
      <c r="M15" s="3"/>
      <c r="N15">
        <f t="shared" si="0"/>
        <v>0</v>
      </c>
    </row>
    <row r="16" spans="1:18" ht="15.95" customHeight="1" x14ac:dyDescent="0.4">
      <c r="A16" s="6">
        <v>14</v>
      </c>
      <c r="B16" s="6" t="s">
        <v>12</v>
      </c>
      <c r="C16" s="6" t="s">
        <v>12</v>
      </c>
      <c r="D16" s="6" t="s">
        <v>12</v>
      </c>
      <c r="E16" s="6" t="s">
        <v>12</v>
      </c>
      <c r="F16" s="6" t="s">
        <v>12</v>
      </c>
      <c r="G16" s="6" t="s">
        <v>12</v>
      </c>
      <c r="H16" s="6" t="s">
        <v>12</v>
      </c>
      <c r="I16" s="6" t="s">
        <v>12</v>
      </c>
      <c r="J16" s="7" t="s">
        <v>12</v>
      </c>
      <c r="K16" s="17"/>
      <c r="L16" s="3"/>
      <c r="M16" s="3"/>
      <c r="N16">
        <f t="shared" si="0"/>
        <v>0</v>
      </c>
    </row>
    <row r="17" spans="1:14" ht="15.95" customHeight="1" x14ac:dyDescent="0.4">
      <c r="A17" s="6">
        <v>15</v>
      </c>
      <c r="B17" s="6" t="s">
        <v>13</v>
      </c>
      <c r="C17" s="6" t="s">
        <v>13</v>
      </c>
      <c r="D17" s="6" t="s">
        <v>13</v>
      </c>
      <c r="E17" s="6" t="s">
        <v>13</v>
      </c>
      <c r="F17" s="6" t="s">
        <v>13</v>
      </c>
      <c r="G17" s="6" t="s">
        <v>13</v>
      </c>
      <c r="H17" s="6" t="s">
        <v>13</v>
      </c>
      <c r="I17" s="6" t="s">
        <v>13</v>
      </c>
      <c r="J17" s="7" t="s">
        <v>13</v>
      </c>
      <c r="K17" s="17"/>
      <c r="L17" s="3"/>
      <c r="M17" s="3"/>
      <c r="N17">
        <f t="shared" si="0"/>
        <v>0</v>
      </c>
    </row>
    <row r="18" spans="1:14" ht="15.95" customHeight="1" x14ac:dyDescent="0.4">
      <c r="A18" s="6">
        <v>16</v>
      </c>
      <c r="B18" s="6" t="s">
        <v>14</v>
      </c>
      <c r="C18" s="6" t="s">
        <v>14</v>
      </c>
      <c r="D18" s="6" t="s">
        <v>14</v>
      </c>
      <c r="E18" s="6" t="s">
        <v>14</v>
      </c>
      <c r="F18" s="6" t="s">
        <v>14</v>
      </c>
      <c r="G18" s="6" t="s">
        <v>14</v>
      </c>
      <c r="H18" s="6" t="s">
        <v>14</v>
      </c>
      <c r="I18" s="6" t="s">
        <v>14</v>
      </c>
      <c r="J18" s="7" t="s">
        <v>14</v>
      </c>
      <c r="K18" s="17"/>
      <c r="L18" s="3"/>
      <c r="M18" s="3"/>
      <c r="N18">
        <f t="shared" si="0"/>
        <v>0</v>
      </c>
    </row>
    <row r="19" spans="1:14" ht="15.95" customHeight="1" x14ac:dyDescent="0.4">
      <c r="A19" s="6">
        <v>17</v>
      </c>
      <c r="B19" s="6" t="s">
        <v>95</v>
      </c>
      <c r="C19" s="6" t="s">
        <v>95</v>
      </c>
      <c r="D19" s="6" t="s">
        <v>95</v>
      </c>
      <c r="E19" s="6" t="s">
        <v>95</v>
      </c>
      <c r="F19" s="6" t="s">
        <v>95</v>
      </c>
      <c r="G19" s="6" t="s">
        <v>95</v>
      </c>
      <c r="H19" s="6" t="s">
        <v>95</v>
      </c>
      <c r="I19" s="6" t="s">
        <v>95</v>
      </c>
      <c r="J19" s="7" t="s">
        <v>95</v>
      </c>
      <c r="K19" s="17"/>
      <c r="L19" s="3"/>
      <c r="M19" s="3"/>
      <c r="N19">
        <f t="shared" si="0"/>
        <v>0</v>
      </c>
    </row>
    <row r="20" spans="1:14" ht="15.95" customHeight="1" x14ac:dyDescent="0.4">
      <c r="A20" s="6">
        <v>18</v>
      </c>
      <c r="B20" s="6" t="s">
        <v>96</v>
      </c>
      <c r="C20" s="6" t="s">
        <v>96</v>
      </c>
      <c r="D20" s="6" t="s">
        <v>96</v>
      </c>
      <c r="E20" s="6" t="s">
        <v>96</v>
      </c>
      <c r="F20" s="6" t="s">
        <v>96</v>
      </c>
      <c r="G20" s="6" t="s">
        <v>96</v>
      </c>
      <c r="H20" s="6" t="s">
        <v>96</v>
      </c>
      <c r="I20" s="6" t="s">
        <v>96</v>
      </c>
      <c r="J20" s="7" t="s">
        <v>96</v>
      </c>
      <c r="K20" s="17"/>
      <c r="L20" s="3"/>
      <c r="M20" s="3"/>
      <c r="N20">
        <f t="shared" si="0"/>
        <v>0</v>
      </c>
    </row>
    <row r="21" spans="1:14" ht="15.95" customHeight="1" x14ac:dyDescent="0.4">
      <c r="A21" s="6">
        <v>19</v>
      </c>
      <c r="B21" s="6" t="s">
        <v>97</v>
      </c>
      <c r="C21" s="6" t="s">
        <v>97</v>
      </c>
      <c r="D21" s="6" t="s">
        <v>97</v>
      </c>
      <c r="E21" s="6" t="s">
        <v>97</v>
      </c>
      <c r="F21" s="6" t="s">
        <v>97</v>
      </c>
      <c r="G21" s="6" t="s">
        <v>97</v>
      </c>
      <c r="H21" s="6" t="s">
        <v>97</v>
      </c>
      <c r="I21" s="6" t="s">
        <v>97</v>
      </c>
      <c r="J21" s="7" t="s">
        <v>97</v>
      </c>
      <c r="K21" s="17"/>
      <c r="L21" s="3"/>
      <c r="M21" s="3"/>
      <c r="N21">
        <f t="shared" si="0"/>
        <v>0</v>
      </c>
    </row>
    <row r="22" spans="1:14" ht="15.95" customHeight="1" x14ac:dyDescent="0.4">
      <c r="A22" s="6">
        <v>20</v>
      </c>
      <c r="B22" s="6" t="s">
        <v>98</v>
      </c>
      <c r="C22" s="6" t="s">
        <v>98</v>
      </c>
      <c r="D22" s="6" t="s">
        <v>98</v>
      </c>
      <c r="E22" s="6" t="s">
        <v>98</v>
      </c>
      <c r="F22" s="6" t="s">
        <v>98</v>
      </c>
      <c r="G22" s="6" t="s">
        <v>98</v>
      </c>
      <c r="H22" s="6" t="s">
        <v>98</v>
      </c>
      <c r="I22" s="6" t="s">
        <v>98</v>
      </c>
      <c r="J22" s="7" t="s">
        <v>98</v>
      </c>
      <c r="K22" s="17"/>
      <c r="L22" s="3"/>
      <c r="M22" s="3"/>
      <c r="N22">
        <f t="shared" si="0"/>
        <v>0</v>
      </c>
    </row>
    <row r="23" spans="1:14" ht="15.95" customHeight="1" x14ac:dyDescent="0.4">
      <c r="A23" s="6">
        <v>21</v>
      </c>
      <c r="B23" s="6" t="s">
        <v>8</v>
      </c>
      <c r="C23" s="6" t="s">
        <v>8</v>
      </c>
      <c r="D23" s="6" t="s">
        <v>8</v>
      </c>
      <c r="E23" s="6" t="s">
        <v>8</v>
      </c>
      <c r="F23" s="6" t="s">
        <v>8</v>
      </c>
      <c r="G23" s="6" t="s">
        <v>8</v>
      </c>
      <c r="H23" s="6" t="s">
        <v>8</v>
      </c>
      <c r="I23" s="6" t="s">
        <v>8</v>
      </c>
      <c r="J23" s="7" t="s">
        <v>8</v>
      </c>
      <c r="K23" s="17"/>
      <c r="L23" s="3"/>
      <c r="M23" s="3"/>
      <c r="N23">
        <f t="shared" si="0"/>
        <v>0</v>
      </c>
    </row>
    <row r="24" spans="1:14" ht="15.95" customHeight="1" x14ac:dyDescent="0.4">
      <c r="A24" s="6">
        <v>22</v>
      </c>
      <c r="B24" s="6" t="s">
        <v>27</v>
      </c>
      <c r="C24" s="6" t="s">
        <v>27</v>
      </c>
      <c r="D24" s="6" t="s">
        <v>27</v>
      </c>
      <c r="E24" s="6" t="s">
        <v>27</v>
      </c>
      <c r="F24" s="6" t="s">
        <v>27</v>
      </c>
      <c r="G24" s="6" t="s">
        <v>27</v>
      </c>
      <c r="H24" s="6" t="s">
        <v>27</v>
      </c>
      <c r="I24" s="6" t="s">
        <v>27</v>
      </c>
      <c r="J24" s="7" t="s">
        <v>27</v>
      </c>
      <c r="K24" s="17"/>
      <c r="L24" s="3"/>
      <c r="M24" s="3"/>
      <c r="N24">
        <f t="shared" si="0"/>
        <v>0</v>
      </c>
    </row>
    <row r="25" spans="1:14" ht="15.95" customHeight="1" x14ac:dyDescent="0.4">
      <c r="A25" s="6">
        <v>23</v>
      </c>
      <c r="B25" s="6" t="s">
        <v>28</v>
      </c>
      <c r="C25" s="6" t="s">
        <v>28</v>
      </c>
      <c r="D25" s="6" t="s">
        <v>28</v>
      </c>
      <c r="E25" s="6" t="s">
        <v>28</v>
      </c>
      <c r="F25" s="6" t="s">
        <v>28</v>
      </c>
      <c r="G25" s="6" t="s">
        <v>28</v>
      </c>
      <c r="H25" s="6" t="s">
        <v>28</v>
      </c>
      <c r="I25" s="6" t="s">
        <v>28</v>
      </c>
      <c r="J25" s="7" t="s">
        <v>28</v>
      </c>
      <c r="K25" s="17"/>
      <c r="L25" s="3"/>
      <c r="M25" s="3"/>
      <c r="N25">
        <f t="shared" si="0"/>
        <v>0</v>
      </c>
    </row>
    <row r="26" spans="1:14" ht="15.95" customHeight="1" x14ac:dyDescent="0.4">
      <c r="A26" s="6">
        <v>24</v>
      </c>
      <c r="B26" s="6" t="s">
        <v>29</v>
      </c>
      <c r="C26" s="6" t="s">
        <v>29</v>
      </c>
      <c r="D26" s="6" t="s">
        <v>29</v>
      </c>
      <c r="E26" s="6" t="s">
        <v>29</v>
      </c>
      <c r="F26" s="6" t="s">
        <v>29</v>
      </c>
      <c r="G26" s="6" t="s">
        <v>29</v>
      </c>
      <c r="H26" s="6" t="s">
        <v>29</v>
      </c>
      <c r="I26" s="6" t="s">
        <v>29</v>
      </c>
      <c r="J26" s="7" t="s">
        <v>29</v>
      </c>
      <c r="K26" s="17"/>
      <c r="L26" s="3"/>
      <c r="M26" s="3"/>
      <c r="N26">
        <f t="shared" si="0"/>
        <v>0</v>
      </c>
    </row>
    <row r="27" spans="1:14" ht="15.95" customHeight="1" x14ac:dyDescent="0.4">
      <c r="A27" s="6">
        <v>25</v>
      </c>
      <c r="B27" s="6" t="s">
        <v>120</v>
      </c>
      <c r="C27" s="6" t="s">
        <v>120</v>
      </c>
      <c r="D27" s="6" t="s">
        <v>120</v>
      </c>
      <c r="E27" s="6" t="s">
        <v>120</v>
      </c>
      <c r="F27" s="6" t="s">
        <v>120</v>
      </c>
      <c r="G27" s="6" t="s">
        <v>120</v>
      </c>
      <c r="H27" s="6" t="s">
        <v>120</v>
      </c>
      <c r="I27" s="6" t="s">
        <v>120</v>
      </c>
      <c r="J27" s="7" t="s">
        <v>120</v>
      </c>
      <c r="K27" s="17"/>
      <c r="L27" s="3"/>
      <c r="M27" s="3"/>
      <c r="N27">
        <f t="shared" si="0"/>
        <v>0</v>
      </c>
    </row>
    <row r="28" spans="1:14" ht="15.95" customHeight="1" x14ac:dyDescent="0.4">
      <c r="A28" s="6">
        <v>26</v>
      </c>
      <c r="B28" s="6" t="s">
        <v>121</v>
      </c>
      <c r="C28" s="6" t="s">
        <v>121</v>
      </c>
      <c r="D28" s="6" t="s">
        <v>121</v>
      </c>
      <c r="E28" s="6" t="s">
        <v>121</v>
      </c>
      <c r="F28" s="6" t="s">
        <v>121</v>
      </c>
      <c r="G28" s="6" t="s">
        <v>121</v>
      </c>
      <c r="H28" s="6" t="s">
        <v>121</v>
      </c>
      <c r="I28" s="6" t="s">
        <v>121</v>
      </c>
      <c r="J28" s="7" t="s">
        <v>121</v>
      </c>
      <c r="K28" s="17"/>
      <c r="L28" s="3"/>
      <c r="M28" s="3"/>
      <c r="N28">
        <f t="shared" si="0"/>
        <v>0</v>
      </c>
    </row>
    <row r="29" spans="1:14" ht="15.95" customHeight="1" x14ac:dyDescent="0.4">
      <c r="A29" s="6">
        <v>27</v>
      </c>
      <c r="B29" s="6" t="s">
        <v>30</v>
      </c>
      <c r="C29" s="6" t="s">
        <v>30</v>
      </c>
      <c r="D29" s="6" t="s">
        <v>30</v>
      </c>
      <c r="E29" s="6" t="s">
        <v>30</v>
      </c>
      <c r="F29" s="6" t="s">
        <v>30</v>
      </c>
      <c r="G29" s="6" t="s">
        <v>30</v>
      </c>
      <c r="H29" s="6" t="s">
        <v>30</v>
      </c>
      <c r="I29" s="6" t="s">
        <v>30</v>
      </c>
      <c r="J29" s="7" t="s">
        <v>30</v>
      </c>
      <c r="K29" s="17"/>
      <c r="L29" s="3"/>
      <c r="M29" s="3"/>
      <c r="N29">
        <f t="shared" si="0"/>
        <v>0</v>
      </c>
    </row>
    <row r="30" spans="1:14" ht="15.95" customHeight="1" x14ac:dyDescent="0.4">
      <c r="A30" s="6">
        <v>28</v>
      </c>
      <c r="B30" s="6" t="s">
        <v>31</v>
      </c>
      <c r="C30" s="6" t="s">
        <v>31</v>
      </c>
      <c r="D30" s="6" t="s">
        <v>31</v>
      </c>
      <c r="E30" s="6" t="s">
        <v>31</v>
      </c>
      <c r="F30" s="6" t="s">
        <v>31</v>
      </c>
      <c r="G30" s="6" t="s">
        <v>31</v>
      </c>
      <c r="H30" s="6" t="s">
        <v>31</v>
      </c>
      <c r="I30" s="6" t="s">
        <v>31</v>
      </c>
      <c r="J30" s="7" t="s">
        <v>31</v>
      </c>
      <c r="K30" s="17"/>
      <c r="L30" s="3"/>
      <c r="M30" s="3"/>
      <c r="N30">
        <f t="shared" si="0"/>
        <v>0</v>
      </c>
    </row>
    <row r="31" spans="1:14" ht="15.95" customHeight="1" x14ac:dyDescent="0.4">
      <c r="A31" s="6">
        <v>29</v>
      </c>
      <c r="B31" s="6" t="s">
        <v>32</v>
      </c>
      <c r="C31" s="6" t="s">
        <v>32</v>
      </c>
      <c r="D31" s="6" t="s">
        <v>32</v>
      </c>
      <c r="E31" s="6" t="s">
        <v>32</v>
      </c>
      <c r="F31" s="6" t="s">
        <v>32</v>
      </c>
      <c r="G31" s="6" t="s">
        <v>32</v>
      </c>
      <c r="H31" s="6" t="s">
        <v>32</v>
      </c>
      <c r="I31" s="6" t="s">
        <v>32</v>
      </c>
      <c r="J31" s="7" t="s">
        <v>32</v>
      </c>
      <c r="K31" s="17"/>
      <c r="L31" s="3"/>
      <c r="M31" s="3"/>
      <c r="N31">
        <f t="shared" si="0"/>
        <v>0</v>
      </c>
    </row>
    <row r="32" spans="1:14" ht="15.95" customHeight="1" x14ac:dyDescent="0.4">
      <c r="A32" s="6">
        <v>30</v>
      </c>
      <c r="B32" s="6" t="s">
        <v>33</v>
      </c>
      <c r="C32" s="6" t="s">
        <v>33</v>
      </c>
      <c r="D32" s="6" t="s">
        <v>33</v>
      </c>
      <c r="E32" s="6" t="s">
        <v>33</v>
      </c>
      <c r="F32" s="6" t="s">
        <v>33</v>
      </c>
      <c r="G32" s="6" t="s">
        <v>33</v>
      </c>
      <c r="H32" s="6" t="s">
        <v>33</v>
      </c>
      <c r="I32" s="6" t="s">
        <v>33</v>
      </c>
      <c r="J32" s="7" t="s">
        <v>33</v>
      </c>
      <c r="K32" s="17"/>
      <c r="L32" s="3"/>
      <c r="M32" s="3"/>
      <c r="N32">
        <f t="shared" si="0"/>
        <v>0</v>
      </c>
    </row>
    <row r="33" spans="1:14" ht="15.95" customHeight="1" x14ac:dyDescent="0.4">
      <c r="A33" s="6">
        <v>31</v>
      </c>
      <c r="B33" s="6" t="s">
        <v>34</v>
      </c>
      <c r="C33" s="6" t="s">
        <v>34</v>
      </c>
      <c r="D33" s="6" t="s">
        <v>34</v>
      </c>
      <c r="E33" s="6" t="s">
        <v>34</v>
      </c>
      <c r="F33" s="6" t="s">
        <v>34</v>
      </c>
      <c r="G33" s="6" t="s">
        <v>34</v>
      </c>
      <c r="H33" s="6" t="s">
        <v>34</v>
      </c>
      <c r="I33" s="6" t="s">
        <v>34</v>
      </c>
      <c r="J33" s="7" t="s">
        <v>34</v>
      </c>
      <c r="K33" s="17"/>
      <c r="L33" s="3"/>
      <c r="M33" s="3"/>
      <c r="N33">
        <f t="shared" si="0"/>
        <v>0</v>
      </c>
    </row>
    <row r="34" spans="1:14" s="2" customFormat="1" ht="15.95" customHeight="1" x14ac:dyDescent="0.4">
      <c r="A34" s="6">
        <v>32</v>
      </c>
      <c r="B34" s="12" t="s">
        <v>35</v>
      </c>
      <c r="C34" s="12" t="s">
        <v>35</v>
      </c>
      <c r="D34" s="12" t="s">
        <v>35</v>
      </c>
      <c r="E34" s="12" t="s">
        <v>35</v>
      </c>
      <c r="F34" s="12" t="s">
        <v>35</v>
      </c>
      <c r="G34" s="12" t="s">
        <v>35</v>
      </c>
      <c r="H34" s="12" t="s">
        <v>35</v>
      </c>
      <c r="I34" s="12" t="s">
        <v>35</v>
      </c>
      <c r="J34" s="13" t="s">
        <v>35</v>
      </c>
      <c r="K34" s="18"/>
      <c r="L34" s="14"/>
      <c r="M34" s="14"/>
      <c r="N34">
        <f t="shared" si="0"/>
        <v>0</v>
      </c>
    </row>
    <row r="35" spans="1:14" ht="15.95" customHeight="1" x14ac:dyDescent="0.4">
      <c r="A35" s="6">
        <v>33</v>
      </c>
      <c r="B35" s="6" t="s">
        <v>15</v>
      </c>
      <c r="C35" s="6" t="s">
        <v>36</v>
      </c>
      <c r="D35" s="6" t="s">
        <v>15</v>
      </c>
      <c r="E35" s="6" t="s">
        <v>55</v>
      </c>
      <c r="F35" s="6" t="s">
        <v>62</v>
      </c>
      <c r="G35" s="6" t="s">
        <v>38</v>
      </c>
      <c r="H35" s="6" t="s">
        <v>40</v>
      </c>
      <c r="I35" s="6" t="s">
        <v>15</v>
      </c>
      <c r="J35" s="7" t="s">
        <v>100</v>
      </c>
      <c r="K35" s="17"/>
      <c r="L35" s="3"/>
      <c r="M35" s="3"/>
      <c r="N35">
        <f t="shared" si="0"/>
        <v>0</v>
      </c>
    </row>
    <row r="36" spans="1:14" ht="15.95" customHeight="1" x14ac:dyDescent="0.4">
      <c r="A36" s="6">
        <v>34</v>
      </c>
      <c r="B36" s="6" t="s">
        <v>16</v>
      </c>
      <c r="C36" s="6" t="s">
        <v>37</v>
      </c>
      <c r="D36" s="6" t="s">
        <v>45</v>
      </c>
      <c r="E36" s="6" t="s">
        <v>56</v>
      </c>
      <c r="F36" s="6" t="s">
        <v>20</v>
      </c>
      <c r="G36" s="6" t="s">
        <v>42</v>
      </c>
      <c r="H36" s="6" t="s">
        <v>37</v>
      </c>
      <c r="I36" s="6" t="s">
        <v>45</v>
      </c>
      <c r="J36" s="7" t="s">
        <v>101</v>
      </c>
      <c r="K36" s="17"/>
      <c r="L36" s="3"/>
      <c r="M36" s="3"/>
      <c r="N36">
        <f t="shared" si="0"/>
        <v>0</v>
      </c>
    </row>
    <row r="37" spans="1:14" ht="15.95" customHeight="1" x14ac:dyDescent="0.4">
      <c r="A37" s="6">
        <v>35</v>
      </c>
      <c r="B37" s="6" t="s">
        <v>17</v>
      </c>
      <c r="C37" s="6" t="s">
        <v>38</v>
      </c>
      <c r="D37" s="6" t="s">
        <v>46</v>
      </c>
      <c r="E37" s="6" t="s">
        <v>57</v>
      </c>
      <c r="F37" s="6" t="s">
        <v>63</v>
      </c>
      <c r="G37" s="6" t="s">
        <v>37</v>
      </c>
      <c r="H37" s="6" t="s">
        <v>77</v>
      </c>
      <c r="I37" s="6" t="s">
        <v>84</v>
      </c>
      <c r="J37" s="7" t="s">
        <v>102</v>
      </c>
      <c r="K37" s="17"/>
      <c r="L37" s="3"/>
      <c r="M37" s="3"/>
      <c r="N37">
        <f t="shared" si="0"/>
        <v>0</v>
      </c>
    </row>
    <row r="38" spans="1:14" ht="15.95" customHeight="1" x14ac:dyDescent="0.4">
      <c r="A38" s="6">
        <v>36</v>
      </c>
      <c r="B38" s="6" t="s">
        <v>18</v>
      </c>
      <c r="C38" s="6" t="s">
        <v>40</v>
      </c>
      <c r="D38" s="6" t="s">
        <v>47</v>
      </c>
      <c r="E38" s="6" t="s">
        <v>58</v>
      </c>
      <c r="F38" s="6" t="s">
        <v>64</v>
      </c>
      <c r="G38" s="6" t="s">
        <v>71</v>
      </c>
      <c r="H38" s="6" t="s">
        <v>78</v>
      </c>
      <c r="I38" s="6" t="s">
        <v>47</v>
      </c>
      <c r="J38" s="7" t="s">
        <v>103</v>
      </c>
      <c r="K38" s="17"/>
      <c r="L38" s="3"/>
      <c r="M38" s="3"/>
      <c r="N38">
        <f t="shared" si="0"/>
        <v>0</v>
      </c>
    </row>
    <row r="39" spans="1:14" ht="15.95" customHeight="1" x14ac:dyDescent="0.4">
      <c r="A39" s="6">
        <v>37</v>
      </c>
      <c r="B39" s="6" t="s">
        <v>19</v>
      </c>
      <c r="C39" s="6" t="s">
        <v>39</v>
      </c>
      <c r="D39" s="6" t="s">
        <v>48</v>
      </c>
      <c r="E39" s="6" t="s">
        <v>59</v>
      </c>
      <c r="F39" s="6" t="s">
        <v>65</v>
      </c>
      <c r="G39" s="6" t="s">
        <v>72</v>
      </c>
      <c r="H39" s="6" t="s">
        <v>79</v>
      </c>
      <c r="I39" s="6" t="s">
        <v>54</v>
      </c>
      <c r="J39" s="7" t="s">
        <v>104</v>
      </c>
      <c r="K39" s="17"/>
      <c r="L39" s="3"/>
      <c r="M39" s="3"/>
      <c r="N39">
        <f t="shared" si="0"/>
        <v>0</v>
      </c>
    </row>
    <row r="40" spans="1:14" ht="15.95" customHeight="1" x14ac:dyDescent="0.4">
      <c r="A40" s="6">
        <v>38</v>
      </c>
      <c r="B40" s="15" t="s">
        <v>116</v>
      </c>
      <c r="C40" s="6" t="s">
        <v>41</v>
      </c>
      <c r="D40" s="6" t="s">
        <v>49</v>
      </c>
      <c r="E40" s="6" t="s">
        <v>60</v>
      </c>
      <c r="F40" s="6" t="s">
        <v>66</v>
      </c>
      <c r="G40" s="6" t="s">
        <v>73</v>
      </c>
      <c r="H40" s="6" t="s">
        <v>42</v>
      </c>
      <c r="I40" s="6" t="s">
        <v>85</v>
      </c>
      <c r="J40" s="7" t="s">
        <v>105</v>
      </c>
      <c r="K40" s="17"/>
      <c r="L40" s="3"/>
      <c r="M40" s="3"/>
      <c r="N40">
        <f t="shared" si="0"/>
        <v>0</v>
      </c>
    </row>
    <row r="41" spans="1:14" ht="15.95" customHeight="1" x14ac:dyDescent="0.4">
      <c r="A41" s="6">
        <v>39</v>
      </c>
      <c r="B41" s="6" t="s">
        <v>20</v>
      </c>
      <c r="C41" s="6" t="s">
        <v>42</v>
      </c>
      <c r="D41" s="6" t="s">
        <v>50</v>
      </c>
      <c r="E41" s="6" t="s">
        <v>61</v>
      </c>
      <c r="F41" s="9" t="s">
        <v>67</v>
      </c>
      <c r="G41" s="6" t="s">
        <v>74</v>
      </c>
      <c r="H41" s="6" t="s">
        <v>80</v>
      </c>
      <c r="I41" s="9" t="s">
        <v>86</v>
      </c>
      <c r="J41" s="7" t="s">
        <v>106</v>
      </c>
      <c r="K41" s="17"/>
      <c r="L41" s="3"/>
      <c r="M41" s="3"/>
      <c r="N41">
        <f t="shared" si="0"/>
        <v>0</v>
      </c>
    </row>
    <row r="42" spans="1:14" ht="15.95" customHeight="1" x14ac:dyDescent="0.4">
      <c r="A42" s="6">
        <v>40</v>
      </c>
      <c r="B42" s="6" t="s">
        <v>21</v>
      </c>
      <c r="C42" s="6" t="s">
        <v>43</v>
      </c>
      <c r="D42" s="6" t="s">
        <v>51</v>
      </c>
      <c r="E42" s="6" t="s">
        <v>7</v>
      </c>
      <c r="F42" s="6" t="s">
        <v>68</v>
      </c>
      <c r="G42" s="6" t="s">
        <v>75</v>
      </c>
      <c r="H42" s="9" t="s">
        <v>81</v>
      </c>
      <c r="I42" s="6" t="s">
        <v>87</v>
      </c>
      <c r="J42" s="7" t="s">
        <v>107</v>
      </c>
      <c r="K42" s="17"/>
      <c r="L42" s="3"/>
      <c r="M42" s="3"/>
      <c r="N42">
        <f t="shared" si="0"/>
        <v>0</v>
      </c>
    </row>
    <row r="43" spans="1:14" ht="15.95" customHeight="1" x14ac:dyDescent="0.4">
      <c r="A43" s="6">
        <v>41</v>
      </c>
      <c r="B43" s="6" t="s">
        <v>22</v>
      </c>
      <c r="C43" s="6" t="s">
        <v>44</v>
      </c>
      <c r="D43" s="9" t="s">
        <v>52</v>
      </c>
      <c r="E43" s="6"/>
      <c r="F43" s="6" t="s">
        <v>69</v>
      </c>
      <c r="G43" s="6" t="s">
        <v>68</v>
      </c>
      <c r="H43" s="6" t="s">
        <v>82</v>
      </c>
      <c r="I43" s="6"/>
      <c r="J43" s="7" t="s">
        <v>108</v>
      </c>
      <c r="K43" s="17"/>
      <c r="L43" s="3"/>
      <c r="M43" s="3"/>
      <c r="N43">
        <f t="shared" si="0"/>
        <v>0</v>
      </c>
    </row>
    <row r="44" spans="1:14" ht="15.95" customHeight="1" x14ac:dyDescent="0.4">
      <c r="A44" s="6">
        <v>42</v>
      </c>
      <c r="B44" s="6" t="s">
        <v>23</v>
      </c>
      <c r="C44" s="6"/>
      <c r="D44" s="6" t="s">
        <v>53</v>
      </c>
      <c r="E44" s="6"/>
      <c r="F44" s="6" t="s">
        <v>70</v>
      </c>
      <c r="G44" s="6" t="s">
        <v>76</v>
      </c>
      <c r="H44" s="9" t="s">
        <v>83</v>
      </c>
      <c r="I44" s="6"/>
      <c r="J44" s="7" t="s">
        <v>109</v>
      </c>
      <c r="K44" s="17"/>
      <c r="L44" s="3"/>
      <c r="M44" s="3"/>
      <c r="N44">
        <f t="shared" si="0"/>
        <v>0</v>
      </c>
    </row>
    <row r="45" spans="1:14" ht="15.95" customHeight="1" x14ac:dyDescent="0.4">
      <c r="A45" s="6">
        <v>43</v>
      </c>
      <c r="B45" s="6" t="s">
        <v>24</v>
      </c>
      <c r="C45" s="6"/>
      <c r="D45" s="6" t="s">
        <v>54</v>
      </c>
      <c r="E45" s="6"/>
      <c r="F45" s="9" t="s">
        <v>88</v>
      </c>
      <c r="G45" s="6"/>
      <c r="H45" s="6"/>
      <c r="I45" s="6"/>
      <c r="J45" s="7" t="s">
        <v>110</v>
      </c>
      <c r="K45" s="17"/>
      <c r="L45" s="3"/>
      <c r="M45" s="3"/>
      <c r="N45">
        <f t="shared" si="0"/>
        <v>0</v>
      </c>
    </row>
    <row r="46" spans="1:14" ht="15.95" customHeight="1" x14ac:dyDescent="0.4">
      <c r="A46" s="6">
        <v>44</v>
      </c>
      <c r="B46" s="6" t="s">
        <v>25</v>
      </c>
      <c r="C46" s="6"/>
      <c r="D46" s="6"/>
      <c r="E46" s="6"/>
      <c r="F46" s="6"/>
      <c r="G46" s="6"/>
      <c r="H46" s="6"/>
      <c r="I46" s="6"/>
      <c r="J46" s="7" t="s">
        <v>111</v>
      </c>
      <c r="K46" s="17"/>
      <c r="L46" s="3"/>
      <c r="M46" s="3"/>
      <c r="N46">
        <f t="shared" si="0"/>
        <v>0</v>
      </c>
    </row>
    <row r="47" spans="1:14" ht="15.95" customHeight="1" x14ac:dyDescent="0.4">
      <c r="A47" s="6">
        <v>45</v>
      </c>
      <c r="B47" s="6" t="s">
        <v>26</v>
      </c>
      <c r="C47" s="6"/>
      <c r="D47" s="6"/>
      <c r="E47" s="6"/>
      <c r="F47" s="6"/>
      <c r="G47" s="6"/>
      <c r="H47" s="6"/>
      <c r="I47" s="6"/>
      <c r="J47" s="7" t="s">
        <v>112</v>
      </c>
      <c r="K47" s="17"/>
      <c r="L47" s="3"/>
      <c r="M47" s="3"/>
      <c r="N47">
        <f t="shared" si="0"/>
        <v>0</v>
      </c>
    </row>
  </sheetData>
  <mergeCells count="2">
    <mergeCell ref="A1:J1"/>
    <mergeCell ref="Q2:R2"/>
  </mergeCells>
  <phoneticPr fontId="1" type="noConversion"/>
  <printOptions horizontalCentered="1"/>
  <pageMargins left="0.19685039370078741" right="0.19685039370078741" top="0.39370078740157483" bottom="0.39370078740157483" header="0.31496062992125984" footer="0.31496062992125984"/>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58B46-BB0C-461F-B04F-AF89625FF459}">
  <dimension ref="A1:AT10"/>
  <sheetViews>
    <sheetView tabSelected="1" workbookViewId="0">
      <selection activeCell="F8" sqref="F8"/>
    </sheetView>
  </sheetViews>
  <sheetFormatPr defaultRowHeight="13.9" x14ac:dyDescent="0.4"/>
  <sheetData>
    <row r="1" spans="1:46" ht="15.75" x14ac:dyDescent="0.4">
      <c r="A1" s="4" t="s">
        <v>113</v>
      </c>
      <c r="B1" s="6">
        <v>1</v>
      </c>
      <c r="C1" s="6">
        <v>2</v>
      </c>
      <c r="D1" s="6">
        <v>3</v>
      </c>
      <c r="E1" s="6">
        <v>4</v>
      </c>
      <c r="F1" s="6">
        <v>5</v>
      </c>
      <c r="G1" s="6">
        <v>6</v>
      </c>
      <c r="H1" s="6">
        <v>7</v>
      </c>
      <c r="I1" s="6">
        <v>8</v>
      </c>
      <c r="J1" s="6">
        <v>9</v>
      </c>
      <c r="K1" s="6">
        <v>10</v>
      </c>
      <c r="L1" s="6">
        <v>11</v>
      </c>
      <c r="M1" s="6">
        <v>12</v>
      </c>
      <c r="N1" s="6">
        <v>13</v>
      </c>
      <c r="O1" s="6">
        <v>14</v>
      </c>
      <c r="P1" s="6">
        <v>15</v>
      </c>
      <c r="Q1" s="6">
        <v>16</v>
      </c>
      <c r="R1" s="6">
        <v>17</v>
      </c>
      <c r="S1" s="6">
        <v>18</v>
      </c>
      <c r="T1" s="6">
        <v>19</v>
      </c>
      <c r="U1" s="6">
        <v>20</v>
      </c>
      <c r="V1" s="6">
        <v>21</v>
      </c>
      <c r="W1" s="6">
        <v>22</v>
      </c>
      <c r="X1" s="6">
        <v>23</v>
      </c>
      <c r="Y1" s="6">
        <v>24</v>
      </c>
      <c r="Z1" s="6">
        <v>25</v>
      </c>
      <c r="AA1" s="6">
        <v>26</v>
      </c>
      <c r="AB1" s="6">
        <v>27</v>
      </c>
      <c r="AC1" s="6">
        <v>28</v>
      </c>
      <c r="AD1" s="6">
        <v>29</v>
      </c>
      <c r="AE1" s="6">
        <v>30</v>
      </c>
      <c r="AF1" s="6">
        <v>31</v>
      </c>
      <c r="AG1" s="6">
        <v>32</v>
      </c>
      <c r="AH1" s="6">
        <v>33</v>
      </c>
      <c r="AI1" s="6">
        <v>34</v>
      </c>
      <c r="AJ1" s="6">
        <v>35</v>
      </c>
      <c r="AK1" s="6">
        <v>36</v>
      </c>
      <c r="AL1" s="6">
        <v>37</v>
      </c>
      <c r="AM1" s="6">
        <v>38</v>
      </c>
      <c r="AN1" s="6">
        <v>39</v>
      </c>
      <c r="AO1" s="6">
        <v>40</v>
      </c>
      <c r="AP1" s="6">
        <v>41</v>
      </c>
      <c r="AQ1" s="6">
        <v>42</v>
      </c>
      <c r="AR1" s="6">
        <v>43</v>
      </c>
      <c r="AS1" s="6">
        <v>44</v>
      </c>
      <c r="AT1" s="6">
        <v>45</v>
      </c>
    </row>
    <row r="2" spans="1:46" ht="47.25" x14ac:dyDescent="0.4">
      <c r="A2" s="4" t="s">
        <v>11</v>
      </c>
      <c r="B2" s="6" t="s">
        <v>0</v>
      </c>
      <c r="C2" s="6" t="s">
        <v>1</v>
      </c>
      <c r="D2" s="6" t="s">
        <v>2</v>
      </c>
      <c r="E2" s="6" t="s">
        <v>119</v>
      </c>
      <c r="F2" s="6" t="s">
        <v>3</v>
      </c>
      <c r="G2" s="9" t="s">
        <v>118</v>
      </c>
      <c r="H2" s="6" t="s">
        <v>114</v>
      </c>
      <c r="I2" s="6" t="s">
        <v>4</v>
      </c>
      <c r="J2" s="6" t="s">
        <v>5</v>
      </c>
      <c r="K2" s="6" t="s">
        <v>6</v>
      </c>
      <c r="L2" s="6" t="s">
        <v>9</v>
      </c>
      <c r="M2" s="6" t="s">
        <v>10</v>
      </c>
      <c r="N2" s="6" t="s">
        <v>115</v>
      </c>
      <c r="O2" s="6" t="s">
        <v>12</v>
      </c>
      <c r="P2" s="6" t="s">
        <v>13</v>
      </c>
      <c r="Q2" s="6" t="s">
        <v>14</v>
      </c>
      <c r="R2" s="6" t="s">
        <v>95</v>
      </c>
      <c r="S2" s="6" t="s">
        <v>96</v>
      </c>
      <c r="T2" s="6" t="s">
        <v>97</v>
      </c>
      <c r="U2" s="6" t="s">
        <v>98</v>
      </c>
      <c r="V2" s="6" t="s">
        <v>8</v>
      </c>
      <c r="W2" s="6" t="s">
        <v>27</v>
      </c>
      <c r="X2" s="6" t="s">
        <v>28</v>
      </c>
      <c r="Y2" s="6" t="s">
        <v>29</v>
      </c>
      <c r="Z2" s="6" t="s">
        <v>120</v>
      </c>
      <c r="AA2" s="6" t="s">
        <v>121</v>
      </c>
      <c r="AB2" s="6" t="s">
        <v>30</v>
      </c>
      <c r="AC2" s="6" t="s">
        <v>31</v>
      </c>
      <c r="AD2" s="6" t="s">
        <v>32</v>
      </c>
      <c r="AE2" s="6" t="s">
        <v>33</v>
      </c>
      <c r="AF2" s="6" t="s">
        <v>34</v>
      </c>
      <c r="AG2" s="12" t="s">
        <v>35</v>
      </c>
      <c r="AH2" s="6" t="s">
        <v>15</v>
      </c>
      <c r="AI2" s="6" t="s">
        <v>16</v>
      </c>
      <c r="AJ2" s="6" t="s">
        <v>17</v>
      </c>
      <c r="AK2" s="6" t="s">
        <v>18</v>
      </c>
      <c r="AL2" s="6" t="s">
        <v>19</v>
      </c>
      <c r="AM2" s="15" t="s">
        <v>116</v>
      </c>
      <c r="AN2" s="6" t="s">
        <v>20</v>
      </c>
      <c r="AO2" s="6" t="s">
        <v>21</v>
      </c>
      <c r="AP2" s="6" t="s">
        <v>22</v>
      </c>
      <c r="AQ2" s="6" t="s">
        <v>23</v>
      </c>
      <c r="AR2" s="6" t="s">
        <v>24</v>
      </c>
      <c r="AS2" s="6" t="s">
        <v>25</v>
      </c>
      <c r="AT2" s="6" t="s">
        <v>26</v>
      </c>
    </row>
    <row r="3" spans="1:46" ht="47.25" x14ac:dyDescent="0.4">
      <c r="A3" s="4" t="s">
        <v>89</v>
      </c>
      <c r="B3" s="6" t="s">
        <v>0</v>
      </c>
      <c r="C3" s="6" t="s">
        <v>1</v>
      </c>
      <c r="D3" s="6" t="s">
        <v>2</v>
      </c>
      <c r="E3" s="6" t="s">
        <v>119</v>
      </c>
      <c r="F3" s="6" t="s">
        <v>3</v>
      </c>
      <c r="G3" s="9" t="s">
        <v>118</v>
      </c>
      <c r="H3" s="6" t="s">
        <v>114</v>
      </c>
      <c r="I3" s="6" t="s">
        <v>4</v>
      </c>
      <c r="J3" s="6" t="s">
        <v>5</v>
      </c>
      <c r="K3" s="6" t="s">
        <v>6</v>
      </c>
      <c r="L3" s="6" t="s">
        <v>9</v>
      </c>
      <c r="M3" s="6" t="s">
        <v>10</v>
      </c>
      <c r="N3" s="6" t="s">
        <v>115</v>
      </c>
      <c r="O3" s="6" t="s">
        <v>12</v>
      </c>
      <c r="P3" s="6" t="s">
        <v>13</v>
      </c>
      <c r="Q3" s="6" t="s">
        <v>14</v>
      </c>
      <c r="R3" s="6" t="s">
        <v>95</v>
      </c>
      <c r="S3" s="6" t="s">
        <v>96</v>
      </c>
      <c r="T3" s="6" t="s">
        <v>97</v>
      </c>
      <c r="U3" s="6" t="s">
        <v>98</v>
      </c>
      <c r="V3" s="6" t="s">
        <v>8</v>
      </c>
      <c r="W3" s="6" t="s">
        <v>27</v>
      </c>
      <c r="X3" s="6" t="s">
        <v>28</v>
      </c>
      <c r="Y3" s="6" t="s">
        <v>29</v>
      </c>
      <c r="Z3" s="6" t="s">
        <v>120</v>
      </c>
      <c r="AA3" s="6" t="s">
        <v>121</v>
      </c>
      <c r="AB3" s="6" t="s">
        <v>30</v>
      </c>
      <c r="AC3" s="6" t="s">
        <v>31</v>
      </c>
      <c r="AD3" s="6" t="s">
        <v>32</v>
      </c>
      <c r="AE3" s="6" t="s">
        <v>33</v>
      </c>
      <c r="AF3" s="6" t="s">
        <v>34</v>
      </c>
      <c r="AG3" s="12" t="s">
        <v>35</v>
      </c>
      <c r="AH3" s="6" t="s">
        <v>36</v>
      </c>
      <c r="AI3" s="6" t="s">
        <v>37</v>
      </c>
      <c r="AJ3" s="6" t="s">
        <v>38</v>
      </c>
      <c r="AK3" s="6" t="s">
        <v>40</v>
      </c>
      <c r="AL3" s="6" t="s">
        <v>39</v>
      </c>
      <c r="AM3" s="6" t="s">
        <v>41</v>
      </c>
      <c r="AN3" s="6" t="s">
        <v>42</v>
      </c>
      <c r="AO3" s="6" t="s">
        <v>43</v>
      </c>
      <c r="AP3" s="6" t="s">
        <v>44</v>
      </c>
      <c r="AQ3" s="6"/>
      <c r="AR3" s="6"/>
      <c r="AS3" s="6"/>
      <c r="AT3" s="6"/>
    </row>
    <row r="4" spans="1:46" ht="47.25" x14ac:dyDescent="0.4">
      <c r="A4" s="4" t="s">
        <v>90</v>
      </c>
      <c r="B4" s="6" t="s">
        <v>0</v>
      </c>
      <c r="C4" s="6" t="s">
        <v>1</v>
      </c>
      <c r="D4" s="6" t="s">
        <v>2</v>
      </c>
      <c r="E4" s="6" t="s">
        <v>119</v>
      </c>
      <c r="F4" s="6" t="s">
        <v>3</v>
      </c>
      <c r="G4" s="9" t="s">
        <v>118</v>
      </c>
      <c r="H4" s="6" t="s">
        <v>114</v>
      </c>
      <c r="I4" s="6" t="s">
        <v>4</v>
      </c>
      <c r="J4" s="6" t="s">
        <v>5</v>
      </c>
      <c r="K4" s="6" t="s">
        <v>6</v>
      </c>
      <c r="L4" s="6" t="s">
        <v>9</v>
      </c>
      <c r="M4" s="6" t="s">
        <v>10</v>
      </c>
      <c r="N4" s="6" t="s">
        <v>115</v>
      </c>
      <c r="O4" s="6" t="s">
        <v>12</v>
      </c>
      <c r="P4" s="6" t="s">
        <v>13</v>
      </c>
      <c r="Q4" s="6" t="s">
        <v>14</v>
      </c>
      <c r="R4" s="6" t="s">
        <v>95</v>
      </c>
      <c r="S4" s="6" t="s">
        <v>96</v>
      </c>
      <c r="T4" s="6" t="s">
        <v>97</v>
      </c>
      <c r="U4" s="6" t="s">
        <v>98</v>
      </c>
      <c r="V4" s="6" t="s">
        <v>8</v>
      </c>
      <c r="W4" s="6" t="s">
        <v>27</v>
      </c>
      <c r="X4" s="6" t="s">
        <v>28</v>
      </c>
      <c r="Y4" s="6" t="s">
        <v>29</v>
      </c>
      <c r="Z4" s="6" t="s">
        <v>120</v>
      </c>
      <c r="AA4" s="6" t="s">
        <v>121</v>
      </c>
      <c r="AB4" s="6" t="s">
        <v>30</v>
      </c>
      <c r="AC4" s="6" t="s">
        <v>31</v>
      </c>
      <c r="AD4" s="6" t="s">
        <v>32</v>
      </c>
      <c r="AE4" s="6" t="s">
        <v>33</v>
      </c>
      <c r="AF4" s="6" t="s">
        <v>34</v>
      </c>
      <c r="AG4" s="12" t="s">
        <v>35</v>
      </c>
      <c r="AH4" s="6" t="s">
        <v>15</v>
      </c>
      <c r="AI4" s="6" t="s">
        <v>45</v>
      </c>
      <c r="AJ4" s="6" t="s">
        <v>46</v>
      </c>
      <c r="AK4" s="6" t="s">
        <v>47</v>
      </c>
      <c r="AL4" s="6" t="s">
        <v>48</v>
      </c>
      <c r="AM4" s="6" t="s">
        <v>49</v>
      </c>
      <c r="AN4" s="6" t="s">
        <v>50</v>
      </c>
      <c r="AO4" s="6" t="s">
        <v>51</v>
      </c>
      <c r="AP4" s="9" t="s">
        <v>52</v>
      </c>
      <c r="AQ4" s="6" t="s">
        <v>53</v>
      </c>
      <c r="AR4" s="6" t="s">
        <v>54</v>
      </c>
      <c r="AS4" s="6"/>
      <c r="AT4" s="6"/>
    </row>
    <row r="5" spans="1:46" ht="47.25" x14ac:dyDescent="0.4">
      <c r="A5" s="4" t="s">
        <v>91</v>
      </c>
      <c r="B5" s="6" t="s">
        <v>0</v>
      </c>
      <c r="C5" s="6" t="s">
        <v>1</v>
      </c>
      <c r="D5" s="6" t="s">
        <v>2</v>
      </c>
      <c r="E5" s="6" t="s">
        <v>119</v>
      </c>
      <c r="F5" s="6" t="s">
        <v>3</v>
      </c>
      <c r="G5" s="9" t="s">
        <v>118</v>
      </c>
      <c r="H5" s="6" t="s">
        <v>114</v>
      </c>
      <c r="I5" s="6" t="s">
        <v>4</v>
      </c>
      <c r="J5" s="6" t="s">
        <v>5</v>
      </c>
      <c r="K5" s="6" t="s">
        <v>6</v>
      </c>
      <c r="L5" s="6" t="s">
        <v>9</v>
      </c>
      <c r="M5" s="6" t="s">
        <v>10</v>
      </c>
      <c r="N5" s="6" t="s">
        <v>115</v>
      </c>
      <c r="O5" s="6" t="s">
        <v>12</v>
      </c>
      <c r="P5" s="6" t="s">
        <v>13</v>
      </c>
      <c r="Q5" s="6" t="s">
        <v>14</v>
      </c>
      <c r="R5" s="6" t="s">
        <v>95</v>
      </c>
      <c r="S5" s="6" t="s">
        <v>96</v>
      </c>
      <c r="T5" s="6" t="s">
        <v>97</v>
      </c>
      <c r="U5" s="6" t="s">
        <v>98</v>
      </c>
      <c r="V5" s="6" t="s">
        <v>8</v>
      </c>
      <c r="W5" s="6" t="s">
        <v>27</v>
      </c>
      <c r="X5" s="6" t="s">
        <v>28</v>
      </c>
      <c r="Y5" s="6" t="s">
        <v>29</v>
      </c>
      <c r="Z5" s="6" t="s">
        <v>120</v>
      </c>
      <c r="AA5" s="6" t="s">
        <v>121</v>
      </c>
      <c r="AB5" s="6" t="s">
        <v>30</v>
      </c>
      <c r="AC5" s="6" t="s">
        <v>31</v>
      </c>
      <c r="AD5" s="6" t="s">
        <v>32</v>
      </c>
      <c r="AE5" s="6" t="s">
        <v>33</v>
      </c>
      <c r="AF5" s="6" t="s">
        <v>34</v>
      </c>
      <c r="AG5" s="12" t="s">
        <v>35</v>
      </c>
      <c r="AH5" s="6" t="s">
        <v>55</v>
      </c>
      <c r="AI5" s="6" t="s">
        <v>56</v>
      </c>
      <c r="AJ5" s="6" t="s">
        <v>57</v>
      </c>
      <c r="AK5" s="6" t="s">
        <v>58</v>
      </c>
      <c r="AL5" s="6" t="s">
        <v>59</v>
      </c>
      <c r="AM5" s="6" t="s">
        <v>60</v>
      </c>
      <c r="AN5" s="6" t="s">
        <v>61</v>
      </c>
      <c r="AO5" s="6" t="s">
        <v>7</v>
      </c>
      <c r="AP5" s="6"/>
      <c r="AQ5" s="6"/>
      <c r="AR5" s="6"/>
      <c r="AS5" s="6"/>
      <c r="AT5" s="6"/>
    </row>
    <row r="6" spans="1:46" ht="47.25" x14ac:dyDescent="0.4">
      <c r="A6" s="4" t="s">
        <v>92</v>
      </c>
      <c r="B6" s="6" t="s">
        <v>0</v>
      </c>
      <c r="C6" s="6" t="s">
        <v>1</v>
      </c>
      <c r="D6" s="6" t="s">
        <v>2</v>
      </c>
      <c r="E6" s="6" t="s">
        <v>119</v>
      </c>
      <c r="F6" s="6" t="s">
        <v>3</v>
      </c>
      <c r="G6" s="9" t="s">
        <v>118</v>
      </c>
      <c r="H6" s="6" t="s">
        <v>114</v>
      </c>
      <c r="I6" s="6" t="s">
        <v>4</v>
      </c>
      <c r="J6" s="6" t="s">
        <v>5</v>
      </c>
      <c r="K6" s="6" t="s">
        <v>6</v>
      </c>
      <c r="L6" s="6" t="s">
        <v>9</v>
      </c>
      <c r="M6" s="6" t="s">
        <v>10</v>
      </c>
      <c r="N6" s="6" t="s">
        <v>115</v>
      </c>
      <c r="O6" s="6" t="s">
        <v>12</v>
      </c>
      <c r="P6" s="6" t="s">
        <v>13</v>
      </c>
      <c r="Q6" s="6" t="s">
        <v>14</v>
      </c>
      <c r="R6" s="6" t="s">
        <v>95</v>
      </c>
      <c r="S6" s="6" t="s">
        <v>96</v>
      </c>
      <c r="T6" s="6" t="s">
        <v>97</v>
      </c>
      <c r="U6" s="6" t="s">
        <v>98</v>
      </c>
      <c r="V6" s="6" t="s">
        <v>8</v>
      </c>
      <c r="W6" s="6" t="s">
        <v>27</v>
      </c>
      <c r="X6" s="6" t="s">
        <v>28</v>
      </c>
      <c r="Y6" s="6" t="s">
        <v>29</v>
      </c>
      <c r="Z6" s="6" t="s">
        <v>120</v>
      </c>
      <c r="AA6" s="6" t="s">
        <v>121</v>
      </c>
      <c r="AB6" s="6" t="s">
        <v>30</v>
      </c>
      <c r="AC6" s="6" t="s">
        <v>31</v>
      </c>
      <c r="AD6" s="6" t="s">
        <v>32</v>
      </c>
      <c r="AE6" s="6" t="s">
        <v>33</v>
      </c>
      <c r="AF6" s="6" t="s">
        <v>34</v>
      </c>
      <c r="AG6" s="12" t="s">
        <v>35</v>
      </c>
      <c r="AH6" s="6" t="s">
        <v>62</v>
      </c>
      <c r="AI6" s="6" t="s">
        <v>20</v>
      </c>
      <c r="AJ6" s="6" t="s">
        <v>63</v>
      </c>
      <c r="AK6" s="6" t="s">
        <v>64</v>
      </c>
      <c r="AL6" s="6" t="s">
        <v>65</v>
      </c>
      <c r="AM6" s="6" t="s">
        <v>66</v>
      </c>
      <c r="AN6" s="9" t="s">
        <v>67</v>
      </c>
      <c r="AO6" s="6" t="s">
        <v>68</v>
      </c>
      <c r="AP6" s="6" t="s">
        <v>69</v>
      </c>
      <c r="AQ6" s="6" t="s">
        <v>70</v>
      </c>
      <c r="AR6" s="9" t="s">
        <v>88</v>
      </c>
      <c r="AS6" s="6"/>
      <c r="AT6" s="6"/>
    </row>
    <row r="7" spans="1:46" ht="47.25" x14ac:dyDescent="0.4">
      <c r="A7" s="4" t="s">
        <v>93</v>
      </c>
      <c r="B7" s="6" t="s">
        <v>0</v>
      </c>
      <c r="C7" s="6" t="s">
        <v>1</v>
      </c>
      <c r="D7" s="6" t="s">
        <v>2</v>
      </c>
      <c r="E7" s="6" t="s">
        <v>119</v>
      </c>
      <c r="F7" s="6" t="s">
        <v>3</v>
      </c>
      <c r="G7" s="9" t="s">
        <v>118</v>
      </c>
      <c r="H7" s="6" t="s">
        <v>114</v>
      </c>
      <c r="I7" s="6" t="s">
        <v>4</v>
      </c>
      <c r="J7" s="6" t="s">
        <v>5</v>
      </c>
      <c r="K7" s="6" t="s">
        <v>6</v>
      </c>
      <c r="L7" s="6" t="s">
        <v>9</v>
      </c>
      <c r="M7" s="6" t="s">
        <v>10</v>
      </c>
      <c r="N7" s="6" t="s">
        <v>115</v>
      </c>
      <c r="O7" s="6" t="s">
        <v>12</v>
      </c>
      <c r="P7" s="6" t="s">
        <v>13</v>
      </c>
      <c r="Q7" s="6" t="s">
        <v>14</v>
      </c>
      <c r="R7" s="6" t="s">
        <v>95</v>
      </c>
      <c r="S7" s="6" t="s">
        <v>96</v>
      </c>
      <c r="T7" s="6" t="s">
        <v>97</v>
      </c>
      <c r="U7" s="6" t="s">
        <v>98</v>
      </c>
      <c r="V7" s="6" t="s">
        <v>8</v>
      </c>
      <c r="W7" s="6" t="s">
        <v>27</v>
      </c>
      <c r="X7" s="6" t="s">
        <v>28</v>
      </c>
      <c r="Y7" s="6" t="s">
        <v>29</v>
      </c>
      <c r="Z7" s="6" t="s">
        <v>120</v>
      </c>
      <c r="AA7" s="6" t="s">
        <v>121</v>
      </c>
      <c r="AB7" s="6" t="s">
        <v>30</v>
      </c>
      <c r="AC7" s="6" t="s">
        <v>31</v>
      </c>
      <c r="AD7" s="6" t="s">
        <v>32</v>
      </c>
      <c r="AE7" s="6" t="s">
        <v>33</v>
      </c>
      <c r="AF7" s="6" t="s">
        <v>34</v>
      </c>
      <c r="AG7" s="12" t="s">
        <v>35</v>
      </c>
      <c r="AH7" s="6" t="s">
        <v>38</v>
      </c>
      <c r="AI7" s="6" t="s">
        <v>42</v>
      </c>
      <c r="AJ7" s="6" t="s">
        <v>37</v>
      </c>
      <c r="AK7" s="6" t="s">
        <v>71</v>
      </c>
      <c r="AL7" s="6" t="s">
        <v>72</v>
      </c>
      <c r="AM7" s="6" t="s">
        <v>73</v>
      </c>
      <c r="AN7" s="6" t="s">
        <v>74</v>
      </c>
      <c r="AO7" s="6" t="s">
        <v>75</v>
      </c>
      <c r="AP7" s="6" t="s">
        <v>68</v>
      </c>
      <c r="AQ7" s="6" t="s">
        <v>76</v>
      </c>
      <c r="AR7" s="6"/>
      <c r="AS7" s="6"/>
      <c r="AT7" s="6"/>
    </row>
    <row r="8" spans="1:46" ht="47.25" x14ac:dyDescent="0.4">
      <c r="A8" s="4" t="s">
        <v>40</v>
      </c>
      <c r="B8" s="6" t="s">
        <v>0</v>
      </c>
      <c r="C8" s="6" t="s">
        <v>1</v>
      </c>
      <c r="D8" s="6" t="s">
        <v>2</v>
      </c>
      <c r="E8" s="6" t="s">
        <v>119</v>
      </c>
      <c r="F8" s="6" t="s">
        <v>3</v>
      </c>
      <c r="G8" s="9" t="s">
        <v>118</v>
      </c>
      <c r="H8" s="6" t="s">
        <v>114</v>
      </c>
      <c r="I8" s="6" t="s">
        <v>4</v>
      </c>
      <c r="J8" s="6" t="s">
        <v>5</v>
      </c>
      <c r="K8" s="6" t="s">
        <v>6</v>
      </c>
      <c r="L8" s="6" t="s">
        <v>9</v>
      </c>
      <c r="M8" s="6" t="s">
        <v>10</v>
      </c>
      <c r="N8" s="6" t="s">
        <v>115</v>
      </c>
      <c r="O8" s="6" t="s">
        <v>12</v>
      </c>
      <c r="P8" s="6" t="s">
        <v>13</v>
      </c>
      <c r="Q8" s="6" t="s">
        <v>14</v>
      </c>
      <c r="R8" s="6" t="s">
        <v>95</v>
      </c>
      <c r="S8" s="6" t="s">
        <v>96</v>
      </c>
      <c r="T8" s="6" t="s">
        <v>97</v>
      </c>
      <c r="U8" s="6" t="s">
        <v>98</v>
      </c>
      <c r="V8" s="6" t="s">
        <v>8</v>
      </c>
      <c r="W8" s="6" t="s">
        <v>27</v>
      </c>
      <c r="X8" s="6" t="s">
        <v>28</v>
      </c>
      <c r="Y8" s="6" t="s">
        <v>29</v>
      </c>
      <c r="Z8" s="6" t="s">
        <v>120</v>
      </c>
      <c r="AA8" s="6" t="s">
        <v>121</v>
      </c>
      <c r="AB8" s="6" t="s">
        <v>30</v>
      </c>
      <c r="AC8" s="6" t="s">
        <v>31</v>
      </c>
      <c r="AD8" s="6" t="s">
        <v>32</v>
      </c>
      <c r="AE8" s="6" t="s">
        <v>33</v>
      </c>
      <c r="AF8" s="6" t="s">
        <v>34</v>
      </c>
      <c r="AG8" s="12" t="s">
        <v>35</v>
      </c>
      <c r="AH8" s="6" t="s">
        <v>40</v>
      </c>
      <c r="AI8" s="6" t="s">
        <v>37</v>
      </c>
      <c r="AJ8" s="6" t="s">
        <v>77</v>
      </c>
      <c r="AK8" s="6" t="s">
        <v>78</v>
      </c>
      <c r="AL8" s="6" t="s">
        <v>79</v>
      </c>
      <c r="AM8" s="6" t="s">
        <v>42</v>
      </c>
      <c r="AN8" s="6" t="s">
        <v>80</v>
      </c>
      <c r="AO8" s="9" t="s">
        <v>81</v>
      </c>
      <c r="AP8" s="6" t="s">
        <v>82</v>
      </c>
      <c r="AQ8" s="9" t="s">
        <v>83</v>
      </c>
      <c r="AR8" s="6"/>
      <c r="AS8" s="6"/>
      <c r="AT8" s="6"/>
    </row>
    <row r="9" spans="1:46" ht="47.25" x14ac:dyDescent="0.4">
      <c r="A9" s="4" t="s">
        <v>94</v>
      </c>
      <c r="B9" s="6" t="s">
        <v>0</v>
      </c>
      <c r="C9" s="6" t="s">
        <v>1</v>
      </c>
      <c r="D9" s="6" t="s">
        <v>2</v>
      </c>
      <c r="E9" s="6" t="s">
        <v>119</v>
      </c>
      <c r="F9" s="6" t="s">
        <v>3</v>
      </c>
      <c r="G9" s="9" t="s">
        <v>118</v>
      </c>
      <c r="H9" s="6" t="s">
        <v>114</v>
      </c>
      <c r="I9" s="6" t="s">
        <v>4</v>
      </c>
      <c r="J9" s="6" t="s">
        <v>5</v>
      </c>
      <c r="K9" s="6" t="s">
        <v>6</v>
      </c>
      <c r="L9" s="6" t="s">
        <v>9</v>
      </c>
      <c r="M9" s="6" t="s">
        <v>10</v>
      </c>
      <c r="N9" s="6" t="s">
        <v>115</v>
      </c>
      <c r="O9" s="6" t="s">
        <v>12</v>
      </c>
      <c r="P9" s="6" t="s">
        <v>13</v>
      </c>
      <c r="Q9" s="6" t="s">
        <v>14</v>
      </c>
      <c r="R9" s="6" t="s">
        <v>95</v>
      </c>
      <c r="S9" s="6" t="s">
        <v>96</v>
      </c>
      <c r="T9" s="6" t="s">
        <v>97</v>
      </c>
      <c r="U9" s="6" t="s">
        <v>98</v>
      </c>
      <c r="V9" s="6" t="s">
        <v>8</v>
      </c>
      <c r="W9" s="6" t="s">
        <v>27</v>
      </c>
      <c r="X9" s="6" t="s">
        <v>28</v>
      </c>
      <c r="Y9" s="6" t="s">
        <v>29</v>
      </c>
      <c r="Z9" s="6" t="s">
        <v>120</v>
      </c>
      <c r="AA9" s="6" t="s">
        <v>121</v>
      </c>
      <c r="AB9" s="6" t="s">
        <v>30</v>
      </c>
      <c r="AC9" s="6" t="s">
        <v>31</v>
      </c>
      <c r="AD9" s="6" t="s">
        <v>32</v>
      </c>
      <c r="AE9" s="6" t="s">
        <v>33</v>
      </c>
      <c r="AF9" s="6" t="s">
        <v>34</v>
      </c>
      <c r="AG9" s="12" t="s">
        <v>35</v>
      </c>
      <c r="AH9" s="6" t="s">
        <v>15</v>
      </c>
      <c r="AI9" s="6" t="s">
        <v>45</v>
      </c>
      <c r="AJ9" s="6" t="s">
        <v>84</v>
      </c>
      <c r="AK9" s="6" t="s">
        <v>47</v>
      </c>
      <c r="AL9" s="6" t="s">
        <v>54</v>
      </c>
      <c r="AM9" s="6" t="s">
        <v>85</v>
      </c>
      <c r="AN9" s="9" t="s">
        <v>86</v>
      </c>
      <c r="AO9" s="6" t="s">
        <v>87</v>
      </c>
      <c r="AP9" s="6"/>
      <c r="AQ9" s="6"/>
      <c r="AR9" s="6"/>
      <c r="AS9" s="6"/>
      <c r="AT9" s="6"/>
    </row>
    <row r="10" spans="1:46" ht="47.25" x14ac:dyDescent="0.4">
      <c r="A10" s="4" t="s">
        <v>99</v>
      </c>
      <c r="B10" s="7" t="s">
        <v>0</v>
      </c>
      <c r="C10" s="7" t="s">
        <v>1</v>
      </c>
      <c r="D10" s="7" t="s">
        <v>2</v>
      </c>
      <c r="E10" s="7" t="s">
        <v>119</v>
      </c>
      <c r="F10" s="7" t="s">
        <v>3</v>
      </c>
      <c r="G10" s="10" t="s">
        <v>118</v>
      </c>
      <c r="H10" s="7" t="s">
        <v>114</v>
      </c>
      <c r="I10" s="7" t="s">
        <v>4</v>
      </c>
      <c r="J10" s="7" t="s">
        <v>5</v>
      </c>
      <c r="K10" s="7" t="s">
        <v>6</v>
      </c>
      <c r="L10" s="7" t="s">
        <v>9</v>
      </c>
      <c r="M10" s="7" t="s">
        <v>10</v>
      </c>
      <c r="N10" s="7" t="s">
        <v>115</v>
      </c>
      <c r="O10" s="7" t="s">
        <v>12</v>
      </c>
      <c r="P10" s="7" t="s">
        <v>13</v>
      </c>
      <c r="Q10" s="7" t="s">
        <v>14</v>
      </c>
      <c r="R10" s="7" t="s">
        <v>95</v>
      </c>
      <c r="S10" s="7" t="s">
        <v>96</v>
      </c>
      <c r="T10" s="7" t="s">
        <v>97</v>
      </c>
      <c r="U10" s="7" t="s">
        <v>98</v>
      </c>
      <c r="V10" s="7" t="s">
        <v>8</v>
      </c>
      <c r="W10" s="7" t="s">
        <v>27</v>
      </c>
      <c r="X10" s="7" t="s">
        <v>28</v>
      </c>
      <c r="Y10" s="7" t="s">
        <v>29</v>
      </c>
      <c r="Z10" s="7" t="s">
        <v>120</v>
      </c>
      <c r="AA10" s="7" t="s">
        <v>121</v>
      </c>
      <c r="AB10" s="7" t="s">
        <v>30</v>
      </c>
      <c r="AC10" s="7" t="s">
        <v>31</v>
      </c>
      <c r="AD10" s="7" t="s">
        <v>32</v>
      </c>
      <c r="AE10" s="7" t="s">
        <v>33</v>
      </c>
      <c r="AF10" s="7" t="s">
        <v>34</v>
      </c>
      <c r="AG10" s="13" t="s">
        <v>35</v>
      </c>
      <c r="AH10" s="7" t="s">
        <v>100</v>
      </c>
      <c r="AI10" s="7" t="s">
        <v>101</v>
      </c>
      <c r="AJ10" s="7" t="s">
        <v>15</v>
      </c>
      <c r="AK10" s="7" t="s">
        <v>103</v>
      </c>
      <c r="AL10" s="7" t="s">
        <v>104</v>
      </c>
      <c r="AM10" s="7" t="s">
        <v>105</v>
      </c>
      <c r="AN10" s="7" t="s">
        <v>106</v>
      </c>
      <c r="AO10" s="7" t="s">
        <v>107</v>
      </c>
      <c r="AP10" s="7" t="s">
        <v>108</v>
      </c>
      <c r="AQ10" s="7" t="s">
        <v>109</v>
      </c>
      <c r="AR10" s="7" t="s">
        <v>110</v>
      </c>
      <c r="AS10" s="7" t="s">
        <v>111</v>
      </c>
      <c r="AT10" s="7" t="s">
        <v>112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440B-B696-4CF6-AD87-DD5918A0A1A9}">
  <dimension ref="A1:C2"/>
  <sheetViews>
    <sheetView workbookViewId="0">
      <selection activeCell="B3" sqref="B3"/>
    </sheetView>
  </sheetViews>
  <sheetFormatPr defaultRowHeight="13.9" x14ac:dyDescent="0.4"/>
  <cols>
    <col min="1" max="1" width="89.53125" customWidth="1"/>
    <col min="2" max="2" width="79.19921875" customWidth="1"/>
    <col min="3" max="3" width="33.19921875" customWidth="1"/>
  </cols>
  <sheetData>
    <row r="1" spans="1:3" s="19" customFormat="1" ht="35.450000000000003" customHeight="1" x14ac:dyDescent="0.4">
      <c r="A1" s="19" t="s">
        <v>124</v>
      </c>
      <c r="B1" s="19" t="s">
        <v>126</v>
      </c>
      <c r="C1" s="19" t="s">
        <v>128</v>
      </c>
    </row>
    <row r="2" spans="1:3" s="22" customFormat="1" ht="302.45" customHeight="1" x14ac:dyDescent="0.4">
      <c r="A2" s="20" t="s">
        <v>125</v>
      </c>
      <c r="B2" s="20" t="s">
        <v>127</v>
      </c>
      <c r="C2" s="23" t="s">
        <v>129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合并</vt:lpstr>
      <vt:lpstr>Sheet1</vt:lpstr>
      <vt:lpstr>细则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2025-12-19T16:43:06Z</dcterms:modified>
</cp:coreProperties>
</file>